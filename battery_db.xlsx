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hemistry_Library" sheetId="2" state="visible" r:id="rId4"/>
    <sheet name="Cell_Catalog" sheetId="3" state="visible" r:id="rId5"/>
    <sheet name="Battery_Catalog" sheetId="4" state="visible" r:id="rId6"/>
    <sheet name="Discharge_Profiles" sheetId="5" state="visible" r:id="rId7"/>
    <sheet name="Custom_Cell" sheetId="6" state="visible" r:id="rId8"/>
    <sheet name="Custom_Pack_Builder" sheetId="7" state="visible" r:id="rId9"/>
    <sheet name="Equipment_DB" sheetId="8" state="visible" r:id="rId10"/>
    <sheet name="UAV_Configurations" sheetId="9" state="visible" r:id="rId11"/>
    <sheet name="Mission_Profil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<sst xmlns="http://schemas.openxmlformats.org/spreadsheetml/2006/main" count="1204" uniqueCount="609">
  <si>
    <t xml:space="preserve">🔋  UAV Battery Analysis &amp; Simulation Toolset  —  Database v1.0</t>
  </si>
  <si>
    <t xml:space="preserve">Master battery database | Supports: LiPo · Li-Ion · LiFePO₄ · Semi-Solid-State · Solid-State · NiMH | Custom pack builder included</t>
  </si>
  <si>
    <t xml:space="preserve">📋  Sheet Guide</t>
  </si>
  <si>
    <t xml:space="preserve">Sheet</t>
  </si>
  <si>
    <t xml:space="preserve">Purpose</t>
  </si>
  <si>
    <t xml:space="preserve">Editable?</t>
  </si>
  <si>
    <t xml:space="preserve">Key Columns</t>
  </si>
  <si>
    <t xml:space="preserve">Chemistry_Library</t>
  </si>
  <si>
    <t xml:space="preserve">Battery chemistry types with electrochemical properties</t>
  </si>
  <si>
    <t xml:space="preserve">Yes – add new chemistries</t>
  </si>
  <si>
    <t xml:space="preserve">Chem_ID, Nom_Voltage, Energy_Density_Wh_kg, Cycle_Life …</t>
  </si>
  <si>
    <t xml:space="preserve">Cell_Catalog</t>
  </si>
  <si>
    <t xml:space="preserve">Individual cell specifications (commercial + reference cells)</t>
  </si>
  <si>
    <t xml:space="preserve">Yes – add cells</t>
  </si>
  <si>
    <t xml:space="preserve">Cell_ID, Chemistry, Capacity_Ah, Voltage_Nom, Weight_g …</t>
  </si>
  <si>
    <t xml:space="preserve">Battery_Catalog</t>
  </si>
  <si>
    <t xml:space="preserve">Complete battery packs ready for UAV selection</t>
  </si>
  <si>
    <t xml:space="preserve">Yes – add packs</t>
  </si>
  <si>
    <t xml:space="preserve">Battery_ID, Cells_Series, Cells_Parallel, Pack_Voltage …</t>
  </si>
  <si>
    <t xml:space="preserve">Discharge_Profiles</t>
  </si>
  <si>
    <t xml:space="preserve">C-rate vs voltage discharge curve data per chemistry</t>
  </si>
  <si>
    <t xml:space="preserve">Yes – add data points</t>
  </si>
  <si>
    <t xml:space="preserve">Chem_ID, C_Rate, SoC_%, Voltage_V, Temp_degC …</t>
  </si>
  <si>
    <t xml:space="preserve">Custom_Cell</t>
  </si>
  <si>
    <t xml:space="preserve">Define a single custom cell from first principles</t>
  </si>
  <si>
    <t xml:space="preserve">Yes – fill yellow cells</t>
  </si>
  <si>
    <t xml:space="preserve">Input specs → calculated outputs</t>
  </si>
  <si>
    <t xml:space="preserve">Custom_Pack_Builder</t>
  </si>
  <si>
    <t xml:space="preserve">Configure a custom pack from a cell (catalog or custom)</t>
  </si>
  <si>
    <t xml:space="preserve">Cell selection, S×P configuration → pack outputs</t>
  </si>
  <si>
    <t xml:space="preserve">🎨  Colour Convention</t>
  </si>
  <si>
    <t xml:space="preserve">  Blue text on yellow</t>
  </si>
  <si>
    <t xml:space="preserve">User input cell — enter your values here</t>
  </si>
  <si>
    <t xml:space="preserve">  Black text on green</t>
  </si>
  <si>
    <t xml:space="preserve">Calculated / formula cell — do not overwrite</t>
  </si>
  <si>
    <t xml:space="preserve">  Bold on light blue</t>
  </si>
  <si>
    <t xml:space="preserve">Section label or field name</t>
  </si>
  <si>
    <t xml:space="preserve">  Normal on grey</t>
  </si>
  <si>
    <t xml:space="preserve">Reference / read-only data</t>
  </si>
  <si>
    <t xml:space="preserve">  LiPo colour</t>
  </si>
  <si>
    <t xml:space="preserve">LiPo chemistry highlight</t>
  </si>
  <si>
    <t xml:space="preserve">  Li-Ion colour</t>
  </si>
  <si>
    <t xml:space="preserve">Li-Ion chemistry highlight</t>
  </si>
  <si>
    <t xml:space="preserve">  LiFePO₄ colour</t>
  </si>
  <si>
    <t xml:space="preserve">LiFePO₄ chemistry highlight</t>
  </si>
  <si>
    <t xml:space="preserve">  Semi-Solid-State</t>
  </si>
  <si>
    <t xml:space="preserve">Semi-Solid-State chemistry highlight</t>
  </si>
  <si>
    <t xml:space="preserve">⚗️  Battery Chemistry Library</t>
  </si>
  <si>
    <t xml:space="preserve">ID</t>
  </si>
  <si>
    <t xml:space="preserve">Chemistry Name</t>
  </si>
  <si>
    <t xml:space="preserve">Short Code</t>
  </si>
  <si>
    <t xml:space="preserve">Voltage (V)</t>
  </si>
  <si>
    <t xml:space="preserve">Energy Density</t>
  </si>
  <si>
    <t xml:space="preserve">Specific Power
(W/kg)</t>
  </si>
  <si>
    <t xml:space="preserve">Cycle Life
(cycles)</t>
  </si>
  <si>
    <t xml:space="preserve">Temperature Range (°C)</t>
  </si>
  <si>
    <t xml:space="preserve">Self-Discharge
(%/month)</t>
  </si>
  <si>
    <t xml:space="preserve">Max Cont.
Discharge (C)</t>
  </si>
  <si>
    <t xml:space="preserve">Max Pulse
Discharge (C)</t>
  </si>
  <si>
    <t xml:space="preserve">Charge
Efficiency (%)</t>
  </si>
  <si>
    <t xml:space="preserve">Safety
Rating</t>
  </si>
  <si>
    <t xml:space="preserve">Relative
Cost</t>
  </si>
  <si>
    <t xml:space="preserve">Notes / UAV Suitability</t>
  </si>
  <si>
    <t xml:space="preserve">Nominal</t>
  </si>
  <si>
    <t xml:space="preserve">Cutoff</t>
  </si>
  <si>
    <t xml:space="preserve">Wh/kg</t>
  </si>
  <si>
    <t xml:space="preserve">Wh/L</t>
  </si>
  <si>
    <t xml:space="preserve">Min</t>
  </si>
  <si>
    <t xml:space="preserve">Max</t>
  </si>
  <si>
    <t xml:space="preserve">LIPO</t>
  </si>
  <si>
    <t xml:space="preserve">Lithium Polymer</t>
  </si>
  <si>
    <t xml:space="preserve">LiPo</t>
  </si>
  <si>
    <t xml:space="preserve">Medium</t>
  </si>
  <si>
    <t xml:space="preserve">Low</t>
  </si>
  <si>
    <t xml:space="preserve">High power density; dominant UAV choice; fire risk if damaged</t>
  </si>
  <si>
    <t xml:space="preserve">LION</t>
  </si>
  <si>
    <t xml:space="preserve">Lithium Ion (NMC)</t>
  </si>
  <si>
    <t xml:space="preserve">Li-Ion</t>
  </si>
  <si>
    <t xml:space="preserve">Higher energy density than LiPo; heavier; laptop/EV cells</t>
  </si>
  <si>
    <t xml:space="preserve">LION21</t>
  </si>
  <si>
    <t xml:space="preserve">Lithium Ion 21700 (NMC)</t>
  </si>
  <si>
    <t xml:space="preserve">High capacity 21700 format; excellent energy/volume ratio</t>
  </si>
  <si>
    <t xml:space="preserve">LIFEPO4</t>
  </si>
  <si>
    <t xml:space="preserve">Lithium Iron Phosphate</t>
  </si>
  <si>
    <t xml:space="preserve">LFP</t>
  </si>
  <si>
    <t xml:space="preserve">High</t>
  </si>
  <si>
    <t xml:space="preserve">Excellent thermal stability; heavy; long cycle life; agriculture UAVs</t>
  </si>
  <si>
    <t xml:space="preserve">LITO</t>
  </si>
  <si>
    <t xml:space="preserve">Lithium Titanate</t>
  </si>
  <si>
    <t xml:space="preserve">LTO</t>
  </si>
  <si>
    <t xml:space="preserve">Very High</t>
  </si>
  <si>
    <t xml:space="preserve">Extreme cycle life; fast charge; low energy — range limited</t>
  </si>
  <si>
    <t xml:space="preserve">SSS</t>
  </si>
  <si>
    <t xml:space="preserve">Semi-Solid State (Li-Ion based)</t>
  </si>
  <si>
    <t xml:space="preserve">Emerging; reduced electrolyte; improved safety; higher density</t>
  </si>
  <si>
    <t xml:space="preserve">SOLID</t>
  </si>
  <si>
    <t xml:space="preserve">All-Solid-State</t>
  </si>
  <si>
    <t xml:space="preserve">SSB</t>
  </si>
  <si>
    <t xml:space="preserve">Pre-production; highest density; no liquid electrolyte; safe</t>
  </si>
  <si>
    <t xml:space="preserve">NIMH</t>
  </si>
  <si>
    <t xml:space="preserve">Nickel Metal Hydride</t>
  </si>
  <si>
    <t xml:space="preserve">NiMH</t>
  </si>
  <si>
    <t xml:space="preserve">Legacy; low specific energy; robust; not common in modern UAVs</t>
  </si>
  <si>
    <t xml:space="preserve">LIHV</t>
  </si>
  <si>
    <t xml:space="preserve">High-Voltage LiPo (LiHV)</t>
  </si>
  <si>
    <t xml:space="preserve">LiHV</t>
  </si>
  <si>
    <t xml:space="preserve">Higher nominal voltage vs standard LiPo; popular in racing UAVs</t>
  </si>
  <si>
    <t xml:space="preserve">🔬  Individual Cell Catalog</t>
  </si>
  <si>
    <t xml:space="preserve">Cell_ID</t>
  </si>
  <si>
    <t xml:space="preserve">Manufacturer</t>
  </si>
  <si>
    <t xml:space="preserve">Model / Part No.</t>
  </si>
  <si>
    <t xml:space="preserve">Chemistry
(Chem_ID)</t>
  </si>
  <si>
    <t xml:space="preserve">Cell Format</t>
  </si>
  <si>
    <t xml:space="preserve">Nominal
Voltage (V)</t>
  </si>
  <si>
    <t xml:space="preserve">Max Charge
Voltage (V)</t>
  </si>
  <si>
    <t xml:space="preserve">Cutoff
Voltage (V)</t>
  </si>
  <si>
    <t xml:space="preserve">Nominal
Capacity (Ah)</t>
  </si>
  <si>
    <t xml:space="preserve">Energy
(Wh)</t>
  </si>
  <si>
    <t xml:space="preserve">Weight
(g)</t>
  </si>
  <si>
    <t xml:space="preserve">Specific Energy
(Wh/kg)</t>
  </si>
  <si>
    <t xml:space="preserve">Volume
(cm³)</t>
  </si>
  <si>
    <t xml:space="preserve">Energy Density
(Wh/L)</t>
  </si>
  <si>
    <t xml:space="preserve">Max Cont.
Discharge (A)</t>
  </si>
  <si>
    <t xml:space="preserve">Max Pulse
Discharge (A)</t>
  </si>
  <si>
    <t xml:space="preserve">Max Charge
Rate (C)</t>
  </si>
  <si>
    <t xml:space="preserve">Internal
Resistance (mΩ)</t>
  </si>
  <si>
    <t xml:space="preserve">Notes</t>
  </si>
  <si>
    <t xml:space="preserve">TATTU_1300_4S</t>
  </si>
  <si>
    <t xml:space="preserve">Tattu</t>
  </si>
  <si>
    <t xml:space="preserve">Tattu 1300 4S</t>
  </si>
  <si>
    <t xml:space="preserve">Pouch</t>
  </si>
  <si>
    <t xml:space="preserve">Popular FPV/racing pack cell equivalent</t>
  </si>
  <si>
    <t xml:space="preserve">GAONENG_550</t>
  </si>
  <si>
    <t xml:space="preserve">Gaoneng</t>
  </si>
  <si>
    <t xml:space="preserve">GNB 550 HV</t>
  </si>
  <si>
    <t xml:space="preserve">Small 1S HV cell for micro UAVs</t>
  </si>
  <si>
    <t xml:space="preserve">CNHL_5200</t>
  </si>
  <si>
    <t xml:space="preserve">CNHL</t>
  </si>
  <si>
    <t xml:space="preserve">Black Series 5200</t>
  </si>
  <si>
    <t xml:space="preserve">High capacity pack; agriculture/long range</t>
  </si>
  <si>
    <t xml:space="preserve">SAMSUNG_30Q</t>
  </si>
  <si>
    <t xml:space="preserve">Samsung SDI</t>
  </si>
  <si>
    <t xml:space="preserve">INR18650-30Q</t>
  </si>
  <si>
    <t xml:space="preserve">18650 Cyl</t>
  </si>
  <si>
    <t xml:space="preserve">Popular UAV/EV cell; good balance energy/power</t>
  </si>
  <si>
    <t xml:space="preserve">SAMSUNG_40T</t>
  </si>
  <si>
    <t xml:space="preserve">INR21700-40T</t>
  </si>
  <si>
    <t xml:space="preserve">21700 Cyl</t>
  </si>
  <si>
    <t xml:space="preserve">High drain 21700; excellent for heavy-lift UAVs</t>
  </si>
  <si>
    <t xml:space="preserve">MOLICEL_P45B</t>
  </si>
  <si>
    <t xml:space="preserve">Molicel</t>
  </si>
  <si>
    <t xml:space="preserve">INR21700-P45B</t>
  </si>
  <si>
    <t xml:space="preserve">High power+capacity; top-tier UAV cell 2024</t>
  </si>
  <si>
    <t xml:space="preserve">LG_M50LT</t>
  </si>
  <si>
    <t xml:space="preserve">LG Chem</t>
  </si>
  <si>
    <t xml:space="preserve">INR21700-M50LT</t>
  </si>
  <si>
    <t xml:space="preserve">Highest capacity 21700; range-optimised UAVs</t>
  </si>
  <si>
    <t xml:space="preserve">A123_ANR26650</t>
  </si>
  <si>
    <t xml:space="preserve">A123 Systems</t>
  </si>
  <si>
    <t xml:space="preserve">ANR26650M1B</t>
  </si>
  <si>
    <t xml:space="preserve">26650 Cyl</t>
  </si>
  <si>
    <t xml:space="preserve">Industrial benchmark LFP cell; high power</t>
  </si>
  <si>
    <t xml:space="preserve">HEADWAY_40152</t>
  </si>
  <si>
    <t xml:space="preserve">Headway</t>
  </si>
  <si>
    <t xml:space="preserve">HW 38120S</t>
  </si>
  <si>
    <t xml:space="preserve">38120 Cyl</t>
  </si>
  <si>
    <t xml:space="preserve">Large format LFP; heavy UAV / long endurance</t>
  </si>
  <si>
    <t xml:space="preserve">24M_SERIES</t>
  </si>
  <si>
    <t xml:space="preserve">24M Technol.</t>
  </si>
  <si>
    <t xml:space="preserve">SemiSolid Gen2</t>
  </si>
  <si>
    <t xml:space="preserve">N/A</t>
  </si>
  <si>
    <t xml:space="preserve">Semi-solid electrolyte; improved safety; pilot production</t>
  </si>
  <si>
    <t xml:space="preserve">TOYOTA_SSB_REF</t>
  </si>
  <si>
    <t xml:space="preserve">Toyota R&amp;D</t>
  </si>
  <si>
    <t xml:space="preserve">SSB Reference Cell</t>
  </si>
  <si>
    <t xml:space="preserve">Prismatic</t>
  </si>
  <si>
    <t xml:space="preserve">Reference only — not yet commercial; 2025 roadmap</t>
  </si>
  <si>
    <t xml:space="preserve">🔋  Battery Pack Catalog</t>
  </si>
  <si>
    <t xml:space="preserve">Battery_ID</t>
  </si>
  <si>
    <t xml:space="preserve">Name / Description</t>
  </si>
  <si>
    <t xml:space="preserve">Cell_ID
(ref)</t>
  </si>
  <si>
    <t xml:space="preserve">Chemistry</t>
  </si>
  <si>
    <t xml:space="preserve">Cells
Series</t>
  </si>
  <si>
    <t xml:space="preserve">Cells
Parallel</t>
  </si>
  <si>
    <t xml:space="preserve">Total
Cells</t>
  </si>
  <si>
    <t xml:space="preserve">Pack
Voltage (V)</t>
  </si>
  <si>
    <t xml:space="preserve">Pack Max
Voltage (V)</t>
  </si>
  <si>
    <t xml:space="preserve">Pack Cutoff
Voltage (V)</t>
  </si>
  <si>
    <t xml:space="preserve">Pack Cap.
(Ah)</t>
  </si>
  <si>
    <t xml:space="preserve">Pack Energy
(Wh)</t>
  </si>
  <si>
    <t xml:space="preserve">Pack
Weight (g)</t>
  </si>
  <si>
    <t xml:space="preserve">Pack
Volume (cm³)</t>
  </si>
  <si>
    <t xml:space="preserve">Max Cont.
Discharge (W)</t>
  </si>
  <si>
    <t xml:space="preserve">C-Rate Cont.
(C)</t>
  </si>
  <si>
    <t xml:space="preserve">Internal Res.
(mΩ)</t>
  </si>
  <si>
    <t xml:space="preserve">Cycle Life
(est.)</t>
  </si>
  <si>
    <t xml:space="preserve">UAV Class</t>
  </si>
  <si>
    <t xml:space="preserve">BAT_FPV_4S1P</t>
  </si>
  <si>
    <t xml:space="preserve">FPV Racing 4S 1300mAh</t>
  </si>
  <si>
    <t xml:space="preserve">FPV / Racing</t>
  </si>
  <si>
    <t xml:space="preserve">Pre-assembled 4S pack; plug-and-fly</t>
  </si>
  <si>
    <t xml:space="preserve">BAT_MICRO_1S</t>
  </si>
  <si>
    <t xml:space="preserve">Micro UAV 1S 550mAh HV</t>
  </si>
  <si>
    <t xml:space="preserve">Micro UAV</t>
  </si>
  <si>
    <t xml:space="preserve">Tiny whoop / micro FPV</t>
  </si>
  <si>
    <t xml:space="preserve">BAT_MID_6S2P</t>
  </si>
  <si>
    <t xml:space="preserve">Mid UAV 6S2P 21700</t>
  </si>
  <si>
    <t xml:space="preserve">Inspection UAV</t>
  </si>
  <si>
    <t xml:space="preserve">6S2P Molicel P45B; excellent energy+discharge</t>
  </si>
  <si>
    <t xml:space="preserve">BAT_MID_6S4P</t>
  </si>
  <si>
    <t xml:space="preserve">Mid UAV 6S4P 21700 High Cap</t>
  </si>
  <si>
    <t xml:space="preserve">Long Endurance</t>
  </si>
  <si>
    <t xml:space="preserve">Max endurance config; heavy; survey UAV</t>
  </si>
  <si>
    <t xml:space="preserve">BAT_AG_6S1P</t>
  </si>
  <si>
    <t xml:space="preserve">Agriculture 6S LFP</t>
  </si>
  <si>
    <t xml:space="preserve">Agriculture UAV</t>
  </si>
  <si>
    <t xml:space="preserve">Heavy but ultra-safe; high cycle count for daily ops</t>
  </si>
  <si>
    <t xml:space="preserve">BAT_HLIFT_6S2P</t>
  </si>
  <si>
    <t xml:space="preserve">Heavy Lift 6S2P LFP</t>
  </si>
  <si>
    <t xml:space="preserve">Heavy Lift UAV</t>
  </si>
  <si>
    <t xml:space="preserve">High discharge rate; payload carry UAVs</t>
  </si>
  <si>
    <t xml:space="preserve">BAT_LE_12S2P</t>
  </si>
  <si>
    <t xml:space="preserve">Long Endurance 12S2P 21700</t>
  </si>
  <si>
    <t xml:space="preserve">Fixed Wing VTOL</t>
  </si>
  <si>
    <t xml:space="preserve">High voltage for efficient motor drive; VTOL survey</t>
  </si>
  <si>
    <t xml:space="preserve">BAT_SSS_6S1P</t>
  </si>
  <si>
    <t xml:space="preserve">Semi-Solid-State 6S1P</t>
  </si>
  <si>
    <t xml:space="preserve">Next-Gen UAV</t>
  </si>
  <si>
    <t xml:space="preserve">Emerging tech; improved safety; 2025 availability</t>
  </si>
  <si>
    <t xml:space="preserve">📉  Discharge Profile Data (Voltage vs SoC at various C-rates)</t>
  </si>
  <si>
    <t xml:space="preserve">Chem_ID</t>
  </si>
  <si>
    <t xml:space="preserve">C_Rate</t>
  </si>
  <si>
    <t xml:space="preserve">Temperature_degC</t>
  </si>
  <si>
    <t xml:space="preserve">SoC_%</t>
  </si>
  <si>
    <t xml:space="preserve">Voltage_V</t>
  </si>
  <si>
    <t xml:space="preserve">Normalised_Capacity_%</t>
  </si>
  <si>
    <t xml:space="preserve">25°C standard</t>
  </si>
  <si>
    <t xml:space="preserve">25°C NMC 21700</t>
  </si>
  <si>
    <t xml:space="preserve">25°C LFP flat plateau</t>
  </si>
  <si>
    <t xml:space="preserve">🔧  Custom Cell Definition</t>
  </si>
  <si>
    <t xml:space="preserve">Fill yellow (🟨) cells. Calculated cells (🟩) update automatically. Copy Cell_ID to Custom_Pack_Builder when done.</t>
  </si>
  <si>
    <t xml:space="preserve">▶  IDENTIFICATION</t>
  </si>
  <si>
    <t xml:space="preserve">Custom cell identifier (e.g. MY_CELL_001)</t>
  </si>
  <si>
    <t xml:space="preserve">MY_CELL_001</t>
  </si>
  <si>
    <t xml:space="preserve">Manufacturer or 'Custom'</t>
  </si>
  <si>
    <t xml:space="preserve">Custom</t>
  </si>
  <si>
    <t xml:space="preserve">Chemistry_Code</t>
  </si>
  <si>
    <t xml:space="preserve">Select: LIPO / LION / LIFEPO4 / SSS / SOLID</t>
  </si>
  <si>
    <t xml:space="preserve">C</t>
  </si>
  <si>
    <t xml:space="preserve">Cell_Format</t>
  </si>
  <si>
    <t xml:space="preserve">Physical format (Pouch / 18650 / 21700 / Prismatic)</t>
  </si>
  <si>
    <t xml:space="preserve">▶  ELECTRICAL PROPERTIES</t>
  </si>
  <si>
    <t xml:space="preserve">Nominal_Voltage_V</t>
  </si>
  <si>
    <t xml:space="preserve">Nominal cell voltage (V)</t>
  </si>
  <si>
    <t xml:space="preserve">V</t>
  </si>
  <si>
    <t xml:space="preserve">Max_Charge_Voltage_V</t>
  </si>
  <si>
    <t xml:space="preserve">Maximum charge voltage (V)</t>
  </si>
  <si>
    <t xml:space="preserve">Cutoff_Voltage_V</t>
  </si>
  <si>
    <t xml:space="preserve">Discharge cutoff voltage (V)</t>
  </si>
  <si>
    <t xml:space="preserve">Nominal_Capacity_Ah</t>
  </si>
  <si>
    <t xml:space="preserve">Nominal capacity in amp-hours</t>
  </si>
  <si>
    <t xml:space="preserve">Ah</t>
  </si>
  <si>
    <t xml:space="preserve">Energy_Wh</t>
  </si>
  <si>
    <t xml:space="preserve">Cell energy (Wh) = Capacity × Voltage</t>
  </si>
  <si>
    <t xml:space="preserve">Wh</t>
  </si>
  <si>
    <t xml:space="preserve">Max_Cont_Discharge_A</t>
  </si>
  <si>
    <t xml:space="preserve">Maximum continuous discharge current (A)</t>
  </si>
  <si>
    <t xml:space="preserve">A</t>
  </si>
  <si>
    <t xml:space="preserve">Max_Pulse_Discharge_A</t>
  </si>
  <si>
    <t xml:space="preserve">Peak pulse discharge current (A)</t>
  </si>
  <si>
    <t xml:space="preserve">Max_Charge_Rate_C</t>
  </si>
  <si>
    <t xml:space="preserve">Maximum charge rate (C)</t>
  </si>
  <si>
    <t xml:space="preserve">Internal_Resistance_mOhm</t>
  </si>
  <si>
    <t xml:space="preserve">Cell internal resistance (mΩ)</t>
  </si>
  <si>
    <t xml:space="preserve">mΩ</t>
  </si>
  <si>
    <t xml:space="preserve">▶  PHYSICAL PROPERTIES</t>
  </si>
  <si>
    <t xml:space="preserve">Weight_g</t>
  </si>
  <si>
    <t xml:space="preserve">Cell weight in grams</t>
  </si>
  <si>
    <t xml:space="preserve">g</t>
  </si>
  <si>
    <t xml:space="preserve">Diameter_mm</t>
  </si>
  <si>
    <t xml:space="preserve">Cell diameter (mm) — cylinders</t>
  </si>
  <si>
    <t xml:space="preserve">mm</t>
  </si>
  <si>
    <t xml:space="preserve">Height_mm</t>
  </si>
  <si>
    <t xml:space="preserve">Cell height/length (mm)</t>
  </si>
  <si>
    <t xml:space="preserve">Volume_cm3</t>
  </si>
  <si>
    <t xml:space="preserve">Cell volume (cm³) — calc or enter</t>
  </si>
  <si>
    <t xml:space="preserve">cm³</t>
  </si>
  <si>
    <t xml:space="preserve">Specific_Energy_Wh_kg</t>
  </si>
  <si>
    <t xml:space="preserve">Wh/kg = Energy / Weight × 1000</t>
  </si>
  <si>
    <t xml:space="preserve">Energy_Density_Wh_L</t>
  </si>
  <si>
    <t xml:space="preserve">Wh/L = Energy / Volume</t>
  </si>
  <si>
    <t xml:space="preserve">▶  LIFETIME &amp; THERMAL</t>
  </si>
  <si>
    <t xml:space="preserve">Cycle_Life_cycles</t>
  </si>
  <si>
    <t xml:space="preserve">Rated cycle life (cycles to 80% cap)</t>
  </si>
  <si>
    <t xml:space="preserve">cycles</t>
  </si>
  <si>
    <t xml:space="preserve">Calendar_Life_years</t>
  </si>
  <si>
    <t xml:space="preserve">Estimated calendar life (years)</t>
  </si>
  <si>
    <t xml:space="preserve">yr</t>
  </si>
  <si>
    <t xml:space="preserve">Operating_Temp_Min_degC</t>
  </si>
  <si>
    <t xml:space="preserve">Minimum operating temperature (°C)</t>
  </si>
  <si>
    <t xml:space="preserve">Operating_Temp_Max_degC</t>
  </si>
  <si>
    <t xml:space="preserve">Maximum operating temperature (°C)</t>
  </si>
  <si>
    <t xml:space="preserve">Self_Discharge_pct_month</t>
  </si>
  <si>
    <t xml:space="preserve">Self-discharge rate (%/month)</t>
  </si>
  <si>
    <t xml:space="preserve">%</t>
  </si>
  <si>
    <t xml:space="preserve">Charge_Efficiency_pct</t>
  </si>
  <si>
    <t xml:space="preserve">Charge efficiency (%)</t>
  </si>
  <si>
    <t xml:space="preserve">▶  DISCHARGE CURVE (3 reference points)</t>
  </si>
  <si>
    <t xml:space="preserve">V_at_100pct_SoC</t>
  </si>
  <si>
    <t xml:space="preserve">Voltage at 100% SoC at 1C (V)</t>
  </si>
  <si>
    <t xml:space="preserve">V_at_50pct_SoC</t>
  </si>
  <si>
    <t xml:space="preserve">Voltage at  50% SoC at 1C (V)</t>
  </si>
  <si>
    <t xml:space="preserve">V_at_10pct_SoC</t>
  </si>
  <si>
    <t xml:space="preserve">Voltage at  10% SoC at 1C (V)</t>
  </si>
  <si>
    <t xml:space="preserve">Peukert_Exponent</t>
  </si>
  <si>
    <t xml:space="preserve">Peukert exponent k (1.0–1.3; LiPo≈1.05)</t>
  </si>
  <si>
    <t xml:space="preserve">🛠️  Custom Pack Builder</t>
  </si>
  <si>
    <t xml:space="preserve">Step 1: Enter Cell_ID from Cell_Catalog or type 'CUSTOM' to use Custom_Cell values.  Step 2: Enter Series × Parallel count.  Step 3: Read calculated pack specs in green cells.</t>
  </si>
  <si>
    <t xml:space="preserve">▶  STEP 1 — Cell Selection</t>
  </si>
  <si>
    <t xml:space="preserve">Cell_Source</t>
  </si>
  <si>
    <t xml:space="preserve">Type of source cell</t>
  </si>
  <si>
    <t xml:space="preserve">CATALOG</t>
  </si>
  <si>
    <t xml:space="preserve">Cell_ID_Ref</t>
  </si>
  <si>
    <t xml:space="preserve">Cell_ID from Cell_Catalog (or 'CUSTOM')</t>
  </si>
  <si>
    <t xml:space="preserve">Cell_V_Nom</t>
  </si>
  <si>
    <t xml:space="preserve">Nominal voltage per cell (V)  — copy from catalog or Custom_Cell</t>
  </si>
  <si>
    <t xml:space="preserve">Cell_V_Max</t>
  </si>
  <si>
    <t xml:space="preserve">Max charge voltage per cell (V)</t>
  </si>
  <si>
    <t xml:space="preserve">Cell_V_Cut</t>
  </si>
  <si>
    <t xml:space="preserve">Cutoff voltage per cell (V)</t>
  </si>
  <si>
    <t xml:space="preserve">Cell_Capacity_Ah</t>
  </si>
  <si>
    <t xml:space="preserve">Nominal capacity per cell (Ah)</t>
  </si>
  <si>
    <t xml:space="preserve">Cell_Weight_g</t>
  </si>
  <si>
    <t xml:space="preserve">Weight per cell (g)</t>
  </si>
  <si>
    <t xml:space="preserve">Cell_Volume_cm3</t>
  </si>
  <si>
    <t xml:space="preserve">Volume per cell (cm³)</t>
  </si>
  <si>
    <t xml:space="preserve">Cell_I_Cont_A</t>
  </si>
  <si>
    <t xml:space="preserve">Max continuous discharge current per cell (A)</t>
  </si>
  <si>
    <t xml:space="preserve">Cell_I_Pulse_A</t>
  </si>
  <si>
    <t xml:space="preserve">Max pulse discharge current per cell (A)</t>
  </si>
  <si>
    <t xml:space="preserve">Cell_IR_mOhm</t>
  </si>
  <si>
    <t xml:space="preserve">Internal resistance per cell (mΩ)</t>
  </si>
  <si>
    <t xml:space="preserve">Cell_Cycles</t>
  </si>
  <si>
    <t xml:space="preserve">Cell cycle life (cycles)</t>
  </si>
  <si>
    <t xml:space="preserve">▶  STEP 2 — Series × Parallel Configuration</t>
  </si>
  <si>
    <t xml:space="preserve">Cells_in_Series</t>
  </si>
  <si>
    <t xml:space="preserve">Number of cells in series (S)</t>
  </si>
  <si>
    <t xml:space="preserve">Cells_in_Parallel</t>
  </si>
  <si>
    <t xml:space="preserve">Number of cells in parallel (P)</t>
  </si>
  <si>
    <t xml:space="preserve">Pack_Overhead_pct</t>
  </si>
  <si>
    <t xml:space="preserve">Weight overhead for packaging, BMS, wiring (%)</t>
  </si>
  <si>
    <t xml:space="preserve">Pack_Volume_factor</t>
  </si>
  <si>
    <t xml:space="preserve">Volume packing factor (pack vol / cell vol)</t>
  </si>
  <si>
    <t xml:space="preserve">▶  STEP 3 — Calculated Pack Specifications</t>
  </si>
  <si>
    <t xml:space="preserve">Total_Cells</t>
  </si>
  <si>
    <t xml:space="preserve">Total cell count = S × P</t>
  </si>
  <si>
    <t xml:space="preserve">Pack_Voltage_Nom_V</t>
  </si>
  <si>
    <t xml:space="preserve">Nominal pack voltage = S × V_nom</t>
  </si>
  <si>
    <t xml:space="preserve">Pack_Voltage_Max_V</t>
  </si>
  <si>
    <t xml:space="preserve">Maximum pack voltage = S × V_max</t>
  </si>
  <si>
    <t xml:space="preserve">Pack_Voltage_Cut_V</t>
  </si>
  <si>
    <t xml:space="preserve">Cutoff pack voltage = S × V_cut</t>
  </si>
  <si>
    <t xml:space="preserve">Pack_Capacity_Ah</t>
  </si>
  <si>
    <t xml:space="preserve">Pack capacity = P × Cell_Capacity</t>
  </si>
  <si>
    <t xml:space="preserve">Pack_Energy_Wh</t>
  </si>
  <si>
    <t xml:space="preserve">Pack energy = V_nom × Capacity</t>
  </si>
  <si>
    <t xml:space="preserve">Cell_Count_Total</t>
  </si>
  <si>
    <t xml:space="preserve">Sanity check cells</t>
  </si>
  <si>
    <t xml:space="preserve">Pack_Weight_Cells_g</t>
  </si>
  <si>
    <t xml:space="preserve">Cell weight sum = Total_cells × Cell_weight</t>
  </si>
  <si>
    <t xml:space="preserve">Pack_Weight_Total_g</t>
  </si>
  <si>
    <t xml:space="preserve">Total pack weight incl. overhead</t>
  </si>
  <si>
    <t xml:space="preserve">Pack_Specific_Energy</t>
  </si>
  <si>
    <t xml:space="preserve">Wh/kg = Pack_Energy / Pack_Weight × 1000</t>
  </si>
  <si>
    <t xml:space="preserve">Pack_Volume_cm3</t>
  </si>
  <si>
    <t xml:space="preserve">Estimated pack volume (cm³)</t>
  </si>
  <si>
    <t xml:space="preserve">Pack_Energy_Density</t>
  </si>
  <si>
    <t xml:space="preserve">Wh/L = Pack_Energy / Volume</t>
  </si>
  <si>
    <t xml:space="preserve">Pack_Max_Cont_A</t>
  </si>
  <si>
    <t xml:space="preserve">Max continuous discharge = P × Cell_I_cont</t>
  </si>
  <si>
    <t xml:space="preserve">Pack_Max_Cont_W</t>
  </si>
  <si>
    <t xml:space="preserve">Max continuous power = Pack_V × Pack_I</t>
  </si>
  <si>
    <t xml:space="preserve">Pack_C_Rate_Cont</t>
  </si>
  <si>
    <t xml:space="preserve">C-rate continuous = I_cont / Capacity</t>
  </si>
  <si>
    <t xml:space="preserve">Pack_Internal_R_mOhm</t>
  </si>
  <si>
    <t xml:space="preserve">Pack internal resistance (mΩ) = IR_cell × S / P</t>
  </si>
  <si>
    <t xml:space="preserve">Pack_Max_Pulse_A</t>
  </si>
  <si>
    <t xml:space="preserve">Max pulse discharge = P × Cell_I_pulse</t>
  </si>
  <si>
    <t xml:space="preserve">Pack_Cycle_Life</t>
  </si>
  <si>
    <t xml:space="preserve">Estimated cycle life (same as cell)</t>
  </si>
  <si>
    <t xml:space="preserve">⚠️  Note: Green cells contain formulas — do not overwrite.  Adjust Pack_Overhead_pct and Pack_Volume_factor for your specific enclosure design.</t>
  </si>
  <si>
    <t xml:space="preserve">⚙️  Equipment Database — UAV Component Library</t>
  </si>
  <si>
    <t xml:space="preserve">Equip_ID</t>
  </si>
  <si>
    <t xml:space="preserve">Category</t>
  </si>
  <si>
    <t xml:space="preserve">Model / Name</t>
  </si>
  <si>
    <t xml:space="preserve">Nom_Voltage_V</t>
  </si>
  <si>
    <t xml:space="preserve">Nom_Current_A</t>
  </si>
  <si>
    <t xml:space="preserve">Idle_Power_W</t>
  </si>
  <si>
    <t xml:space="preserve">Hover_Power_W</t>
  </si>
  <si>
    <t xml:space="preserve">Climb_Power_W</t>
  </si>
  <si>
    <t xml:space="preserve">Cruise_Power_W</t>
  </si>
  <si>
    <t xml:space="preserve">Max_Power_W</t>
  </si>
  <si>
    <t xml:space="preserve">Efficiency_%</t>
  </si>
  <si>
    <t xml:space="preserve">Duty_Cycle_%</t>
  </si>
  <si>
    <t xml:space="preserve">Notes / Operating Conditions</t>
  </si>
  <si>
    <t xml:space="preserve">Active</t>
  </si>
  <si>
    <t xml:space="preserve">MOT_T_MOTOR_MN4014</t>
  </si>
  <si>
    <t xml:space="preserve">Propulsion</t>
  </si>
  <si>
    <t xml:space="preserve">T-Motor</t>
  </si>
  <si>
    <t xml:space="preserve">MN4014 KV330</t>
  </si>
  <si>
    <t xml:space="preserve">Mid-size multirotor; 15" prop; KV330</t>
  </si>
  <si>
    <t xml:space="preserve">Yes</t>
  </si>
  <si>
    <t xml:space="preserve">MOT_T_MOTOR_MN701S</t>
  </si>
  <si>
    <t xml:space="preserve">MN701S KV85</t>
  </si>
  <si>
    <t xml:space="preserve">Heavy-lift; 22" prop; KV85</t>
  </si>
  <si>
    <t xml:space="preserve">MOT_SUNNYSKY_X2216</t>
  </si>
  <si>
    <t xml:space="preserve">SunnySky</t>
  </si>
  <si>
    <t xml:space="preserve">X2216 KV800</t>
  </si>
  <si>
    <t xml:space="preserve">Compact S250-S450 class; 9" prop</t>
  </si>
  <si>
    <t xml:space="preserve">MOT_HOBBYWING_X8</t>
  </si>
  <si>
    <t xml:space="preserve">Hobbywing</t>
  </si>
  <si>
    <t xml:space="preserve">X8 Power System</t>
  </si>
  <si>
    <t xml:space="preserve">Enterprise coaxial; 22-24" prop</t>
  </si>
  <si>
    <t xml:space="preserve">ESC_FLAME_60A</t>
  </si>
  <si>
    <t xml:space="preserve">Flame 60A</t>
  </si>
  <si>
    <t xml:space="preserve">BEC 5V/3A; PWM+DSHOT; 60A cont.</t>
  </si>
  <si>
    <t xml:space="preserve">ESC_FLAME_80A</t>
  </si>
  <si>
    <t xml:space="preserve">Flame 80A</t>
  </si>
  <si>
    <t xml:space="preserve">BEC 5V/3A; PWM+DSHOT; 80A cont.</t>
  </si>
  <si>
    <t xml:space="preserve">FC_PIXHAWK_6C</t>
  </si>
  <si>
    <t xml:space="preserve">Avionics</t>
  </si>
  <si>
    <t xml:space="preserve">Holybro</t>
  </si>
  <si>
    <t xml:space="preserve">Pixhawk 6C</t>
  </si>
  <si>
    <t xml:space="preserve">ArduPilot/PX4; triple IMU redundancy</t>
  </si>
  <si>
    <t xml:space="preserve">FC_CUBE_ORANGE</t>
  </si>
  <si>
    <t xml:space="preserve">CubePilot</t>
  </si>
  <si>
    <t xml:space="preserve">Cube Orange+</t>
  </si>
  <si>
    <t xml:space="preserve">Triple-redundant; carrier-board req.</t>
  </si>
  <si>
    <t xml:space="preserve">GPS_HERE3</t>
  </si>
  <si>
    <t xml:space="preserve">Here 3+ GPS</t>
  </si>
  <si>
    <t xml:space="preserve">Multi-constellation GNSS; RTK ready</t>
  </si>
  <si>
    <t xml:space="preserve">GPS_F9P_RTK</t>
  </si>
  <si>
    <t xml:space="preserve">Drotek</t>
  </si>
  <si>
    <t xml:space="preserve">F9P Sirius RTK</t>
  </si>
  <si>
    <t xml:space="preserve">cm-accuracy RTK; multi-band</t>
  </si>
  <si>
    <t xml:space="preserve">IMU_VN100</t>
  </si>
  <si>
    <t xml:space="preserve">VectorNav</t>
  </si>
  <si>
    <t xml:space="preserve">VN-100</t>
  </si>
  <si>
    <t xml:space="preserve">High-accuracy MEMS IMU</t>
  </si>
  <si>
    <t xml:space="preserve">CAM_SONY_A7R</t>
  </si>
  <si>
    <t xml:space="preserve">Payload</t>
  </si>
  <si>
    <t xml:space="preserve">Sony</t>
  </si>
  <si>
    <t xml:space="preserve">A7R IV (gimbal)</t>
  </si>
  <si>
    <t xml:space="preserve">42MP full-frame; survey photography</t>
  </si>
  <si>
    <t xml:space="preserve">CAM_ZENMUSE_X7</t>
  </si>
  <si>
    <t xml:space="preserve">DJI</t>
  </si>
  <si>
    <t xml:space="preserve">Zenmuse X7</t>
  </si>
  <si>
    <t xml:space="preserve">6K cinema; L-Mount; photogrammetry</t>
  </si>
  <si>
    <t xml:space="preserve">CAM_RGB_10MP</t>
  </si>
  <si>
    <t xml:space="preserve">Generic</t>
  </si>
  <si>
    <t xml:space="preserve">10MP RGB Survey</t>
  </si>
  <si>
    <t xml:space="preserve">Standard mapping; 10MP resolution</t>
  </si>
  <si>
    <t xml:space="preserve">LIDAR_HESAI_XT32</t>
  </si>
  <si>
    <t xml:space="preserve">Hesai</t>
  </si>
  <si>
    <t xml:space="preserve">XT-32 LiDAR</t>
  </si>
  <si>
    <t xml:space="preserve">32-channel mechanical LiDAR; 120m</t>
  </si>
  <si>
    <t xml:space="preserve">LIDAR_LIVOX_MID360</t>
  </si>
  <si>
    <t xml:space="preserve">Livox</t>
  </si>
  <si>
    <t xml:space="preserve">Mid-360</t>
  </si>
  <si>
    <t xml:space="preserve">Non-repetitive scan; 40m range</t>
  </si>
  <si>
    <t xml:space="preserve">MULTISPECTRAL_MX</t>
  </si>
  <si>
    <t xml:space="preserve">MicaSense</t>
  </si>
  <si>
    <t xml:space="preserve">RedEdge-MX</t>
  </si>
  <si>
    <t xml:space="preserve">5-band; NDVI/NDRE; precision ag</t>
  </si>
  <si>
    <t xml:space="preserve">THERMAL_VUE_PRO</t>
  </si>
  <si>
    <t xml:space="preserve">FLIR</t>
  </si>
  <si>
    <t xml:space="preserve">Vue Pro R 640</t>
  </si>
  <si>
    <t xml:space="preserve">640×512 thermal; radiometric</t>
  </si>
  <si>
    <t xml:space="preserve">GIMBAL_3AXIS</t>
  </si>
  <si>
    <t xml:space="preserve">3-Axis Gimbal</t>
  </si>
  <si>
    <t xml:space="preserve">3-axis stabilisation; servo power</t>
  </si>
  <si>
    <t xml:space="preserve">RC_CROSSFIRE</t>
  </si>
  <si>
    <t xml:space="preserve">Communication</t>
  </si>
  <si>
    <t xml:space="preserve">TBS</t>
  </si>
  <si>
    <t xml:space="preserve">Crossfire TX+RX</t>
  </si>
  <si>
    <t xml:space="preserve">1W long-range RC link; 900MHz</t>
  </si>
  <si>
    <t xml:space="preserve">TELEMETRY_900MHZ</t>
  </si>
  <si>
    <t xml:space="preserve">RFD</t>
  </si>
  <si>
    <t xml:space="preserve">RFD900x</t>
  </si>
  <si>
    <t xml:space="preserve">900MHz telemetry; 40km range</t>
  </si>
  <si>
    <t xml:space="preserve">DATALINK_LTE</t>
  </si>
  <si>
    <t xml:space="preserve">4G LTE Module</t>
  </si>
  <si>
    <t xml:space="preserve">Cellular fallback; cloud connectivity</t>
  </si>
  <si>
    <t xml:space="preserve">VIDEO_TX_5G8</t>
  </si>
  <si>
    <t xml:space="preserve">Unify Pro 5G8</t>
  </si>
  <si>
    <t xml:space="preserve">5.8GHz HD video TX; 300mW</t>
  </si>
  <si>
    <t xml:space="preserve">BMS_ACTIVE</t>
  </si>
  <si>
    <t xml:space="preserve">Power Systems</t>
  </si>
  <si>
    <t xml:space="preserve">Active BMS 6S</t>
  </si>
  <si>
    <t xml:space="preserve">Cell balancing + protection; 6S</t>
  </si>
  <si>
    <t xml:space="preserve">POWER_MODULE_60A</t>
  </si>
  <si>
    <t xml:space="preserve">Mauch</t>
  </si>
  <si>
    <t xml:space="preserve">PL-100 Power Mod.</t>
  </si>
  <si>
    <t xml:space="preserve">High-precision current/voltage</t>
  </si>
  <si>
    <t xml:space="preserve">POWER_DIST_BOARD</t>
  </si>
  <si>
    <t xml:space="preserve">PDB 8-output</t>
  </si>
  <si>
    <t xml:space="preserve">Power distribution board</t>
  </si>
  <si>
    <t xml:space="preserve">FRAME_HEX_900</t>
  </si>
  <si>
    <t xml:space="preserve">Frame/Structure</t>
  </si>
  <si>
    <t xml:space="preserve">CF Hex 900mm</t>
  </si>
  <si>
    <t xml:space="preserve">900mm wheelbase; 6-arm carbon fibre</t>
  </si>
  <si>
    <t xml:space="preserve">FRAME_QUAD_450</t>
  </si>
  <si>
    <t xml:space="preserve">CF Quad 450mm</t>
  </si>
  <si>
    <t xml:space="preserve">450mm wheelbase; 4-arm carbon fibre</t>
  </si>
  <si>
    <t xml:space="preserve">FRAME_HEX_1200</t>
  </si>
  <si>
    <t xml:space="preserve">CF Hex 1200mm</t>
  </si>
  <si>
    <t xml:space="preserve">1200mm heavy-lift hex; folding arms</t>
  </si>
  <si>
    <t xml:space="preserve">🚁  UAV Configurations — Define your UAV by listing its equipment</t>
  </si>
  <si>
    <t xml:space="preserve">Add one row per equipment item per UAV.  UAV_ID groups equipment.  Qty × power values are used by the power profile calculator.  Frame rows (power=0) contribute only to weight.</t>
  </si>
  <si>
    <t xml:space="preserve">UAV_ID</t>
  </si>
  <si>
    <t xml:space="preserve">UAV_Name</t>
  </si>
  <si>
    <t xml:space="preserve">Qty</t>
  </si>
  <si>
    <t xml:space="preserve">Override_Hover_W</t>
  </si>
  <si>
    <t xml:space="preserve">Override_Cruise_W</t>
  </si>
  <si>
    <t xml:space="preserve">Override_Climb_W</t>
  </si>
  <si>
    <t xml:space="preserve">HEX_SURVEY_900</t>
  </si>
  <si>
    <t xml:space="preserve">Survey Hex 900</t>
  </si>
  <si>
    <t xml:space="preserve">6×motor+ESC</t>
  </si>
  <si>
    <t xml:space="preserve">HEX_AG_1200</t>
  </si>
  <si>
    <t xml:space="preserve">Ag Heavy Lift</t>
  </si>
  <si>
    <t xml:space="preserve">Coaxial motor pairs</t>
  </si>
  <si>
    <t xml:space="preserve">NDVI payload</t>
  </si>
  <si>
    <t xml:space="preserve">QUAD_INSPECT</t>
  </si>
  <si>
    <t xml:space="preserve">Inspection Quad</t>
  </si>
  <si>
    <t xml:space="preserve">✈️  Mission Profiles — Flight Phase Definitions</t>
  </si>
  <si>
    <t xml:space="preserve">Define each phase of a mission.  Duration_s and Power_W can be entered directly, OR leave Power_W blank and it is computed from UAV_Config × phase power multipliers in the simulation notebook.  Add as many phases and missions as needed.</t>
  </si>
  <si>
    <t xml:space="preserve">Mission_ID</t>
  </si>
  <si>
    <t xml:space="preserve">Mission_Name</t>
  </si>
  <si>
    <t xml:space="preserve">UAV_Config_ID</t>
  </si>
  <si>
    <t xml:space="preserve">Phase_Seq</t>
  </si>
  <si>
    <t xml:space="preserve">Phase_Name</t>
  </si>
  <si>
    <t xml:space="preserve">Phase_Type</t>
  </si>
  <si>
    <t xml:space="preserve">Duration_s</t>
  </si>
  <si>
    <t xml:space="preserve">Distance_m</t>
  </si>
  <si>
    <t xml:space="preserve">Altitude_m</t>
  </si>
  <si>
    <t xml:space="preserve">Airspeed_ms</t>
  </si>
  <si>
    <t xml:space="preserve">Power_Override_W</t>
  </si>
  <si>
    <t xml:space="preserve">SURVEY_STD</t>
  </si>
  <si>
    <t xml:space="preserve">Grid Survey 500m</t>
  </si>
  <si>
    <t xml:space="preserve">Pre-arm checks</t>
  </si>
  <si>
    <t xml:space="preserve">IDLE</t>
  </si>
  <si>
    <t xml:space="preserve">Systems check; motors off</t>
  </si>
  <si>
    <t xml:space="preserve">Takeoff</t>
  </si>
  <si>
    <t xml:space="preserve">TAKEOFF</t>
  </si>
  <si>
    <t xml:space="preserve">Vertical ascent to 30m AGL</t>
  </si>
  <si>
    <t xml:space="preserve">Climb to alt</t>
  </si>
  <si>
    <t xml:space="preserve">CLIMB</t>
  </si>
  <si>
    <t xml:space="preserve">Ascend to survey altitude 100m</t>
  </si>
  <si>
    <t xml:space="preserve">Survey grid</t>
  </si>
  <si>
    <t xml:space="preserve">CRUISE</t>
  </si>
  <si>
    <t xml:space="preserve">Lawnmower pattern; camera active</t>
  </si>
  <si>
    <t xml:space="preserve">Hover waypoint</t>
  </si>
  <si>
    <t xml:space="preserve">HOVER</t>
  </si>
  <si>
    <t xml:space="preserve">End-of-line turn pause</t>
  </si>
  <si>
    <t xml:space="preserve">Return home</t>
  </si>
  <si>
    <t xml:space="preserve">RTH cruise</t>
  </si>
  <si>
    <t xml:space="preserve">Descend</t>
  </si>
  <si>
    <t xml:space="preserve">DESCEND</t>
  </si>
  <si>
    <t xml:space="preserve">Gradual descent to 30m</t>
  </si>
  <si>
    <t xml:space="preserve">Land</t>
  </si>
  <si>
    <t xml:space="preserve">LAND</t>
  </si>
  <si>
    <t xml:space="preserve">Slow landing</t>
  </si>
  <si>
    <t xml:space="preserve">AG_SPRAY</t>
  </si>
  <si>
    <t xml:space="preserve">Ag Spray 10ha</t>
  </si>
  <si>
    <t xml:space="preserve">Payload check; pump prime</t>
  </si>
  <si>
    <t xml:space="preserve">Low altitude takeoff</t>
  </si>
  <si>
    <t xml:space="preserve">Transit</t>
  </si>
  <si>
    <t xml:space="preserve">Transit to field boundary</t>
  </si>
  <si>
    <t xml:space="preserve">Spray pass 1</t>
  </si>
  <si>
    <t xml:space="preserve">Low-altitude spray; 3m AGL</t>
  </si>
  <si>
    <t xml:space="preserve">Turn hover</t>
  </si>
  <si>
    <t xml:space="preserve">End-of-row turn</t>
  </si>
  <si>
    <t xml:space="preserve">Spray pass 2</t>
  </si>
  <si>
    <t xml:space="preserve">Low-altitude spray</t>
  </si>
  <si>
    <t xml:space="preserve">Spray pass 3</t>
  </si>
  <si>
    <t xml:space="preserve">Return to base</t>
  </si>
  <si>
    <t xml:space="preserve">INSPECT_STD</t>
  </si>
  <si>
    <t xml:space="preserve">Tower Inspection</t>
  </si>
  <si>
    <t xml:space="preserve">Pre-arm</t>
  </si>
  <si>
    <t xml:space="preserve">Climb</t>
  </si>
  <si>
    <t xml:space="preserve">Ascend to tower height</t>
  </si>
  <si>
    <t xml:space="preserve">Orbit hover</t>
  </si>
  <si>
    <t xml:space="preserve">Stationary orbit; camera active</t>
  </si>
  <si>
    <t xml:space="preserve">Slow orbit</t>
  </si>
  <si>
    <t xml:space="preserve">Slow circular orbit</t>
  </si>
  <si>
    <t xml:space="preserve">Reposition</t>
  </si>
  <si>
    <t xml:space="preserve">Move to lower inspection point</t>
  </si>
  <si>
    <t xml:space="preserve">Phase Type Legend</t>
  </si>
  <si>
    <t xml:space="preserve">Pre-arm / post-land; motors idle or off; minimum power</t>
  </si>
  <si>
    <t xml:space="preserve">Vertical takeoff; high motor demand; brief duration</t>
  </si>
  <si>
    <t xml:space="preserve">Ascending to mission altitude; medium-high power</t>
  </si>
  <si>
    <t xml:space="preserve">Horizontal flight; most efficient phase</t>
  </si>
  <si>
    <t xml:space="preserve">Stationary flight; high power; avoid extended hover</t>
  </si>
  <si>
    <t xml:space="preserve">Controlled descent; lower power than hover</t>
  </si>
  <si>
    <t xml:space="preserve">Final approach and touchdown</t>
  </si>
  <si>
    <t xml:space="preserve">PAYLOAD_OPS</t>
  </si>
  <si>
    <t xml:space="preserve">Payload-specific operation (spray pump, winch, etc.)</t>
  </si>
  <si>
    <t xml:space="preserve">EMERGENCY</t>
  </si>
  <si>
    <t xml:space="preserve">Emergency / failsafe mode; max power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</si>
</sst>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41719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4F0"/>
        <bgColor rgb="FFD9E1F2"/>
      </patternFill>
    </fill>
    <fill>
      <patternFill patternType="solid">
        <fgColor rgb="FF2E75B6"/>
        <bgColor rgb="FF41719C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FEACC"/>
      </patternFill>
    </fill>
    <fill>
      <patternFill patternType="solid">
        <fgColor rgb="FFE2EFDA"/>
        <bgColor rgb="FFF2F2F2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E7CC"/>
      </patternFill>
    </fill>
    <fill>
      <patternFill patternType="solid">
        <fgColor rgb="FFC6E0B4"/>
        <bgColor rgb="FFBDD7EE"/>
      </patternFill>
    </fill>
    <fill>
      <patternFill patternType="solid">
        <fgColor rgb="FFE2CEEF"/>
        <bgColor rgb="FFD9E1F2"/>
      </patternFill>
    </fill>
    <fill>
      <patternFill patternType="solid">
        <fgColor rgb="FF41719C"/>
        <bgColor rgb="FF2E75B6"/>
      </patternFill>
    </fill>
    <fill>
      <patternFill patternType="solid">
        <fgColor rgb="FFFCE4D6"/>
        <bgColor rgb="FFFFE7CC"/>
      </patternFill>
    </fill>
    <fill>
      <patternFill patternType="solid">
        <fgColor rgb="FFD9E1F2"/>
        <bgColor rgb="FFD6E4F0"/>
      </patternFill>
    </fill>
    <fill>
      <patternFill patternType="solid">
        <fgColor rgb="FFFFE7CC"/>
        <bgColor rgb="FFFFEACC"/>
      </patternFill>
    </fill>
    <fill>
      <patternFill patternType="solid">
        <fgColor rgb="FFFFEACC"/>
        <bgColor rgb="FFFFE7CC"/>
      </patternFill>
    </fill>
    <fill>
      <patternFill patternType="solid">
        <fgColor rgb="FFFF9999"/>
        <bgColor rgb="FFFF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A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E1F2"/>
      <rgbColor rgb="FFFF9999"/>
      <rgbColor rgb="FFE2CEEF"/>
      <rgbColor rgb="FFFFE7CC"/>
      <rgbColor rgb="FF2E75B6"/>
      <rgbColor rgb="FF33CCCC"/>
      <rgbColor rgb="FF99CC00"/>
      <rgbColor rgb="FFFCE4D6"/>
      <rgbColor rgb="FFFF9900"/>
      <rgbColor rgb="FFFF6600"/>
      <rgbColor rgb="FF41719C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52"/>
    <col collapsed="false" customWidth="true" hidden="false" outlineLevel="0" max="3" min="3" style="1" width="28"/>
    <col collapsed="false" customWidth="true" hidden="false" outlineLevel="0" max="4" min="4" style="1" width="58"/>
    <col collapsed="false" customWidth="true" hidden="false" outlineLevel="0" max="8" min="5" style="1" width="2"/>
  </cols>
  <sheetData>
    <row r="1" customFormat="false" ht="4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9.5" hidden="false" customHeight="true" outlineLevel="0" collapsed="false">
      <c r="A4" s="4" t="s">
        <v>2</v>
      </c>
    </row>
    <row r="5" customFormat="false" ht="18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30" hidden="false" customHeight="true" outlineLevel="0" collapsed="false">
      <c r="A6" s="6" t="s">
        <v>7</v>
      </c>
      <c r="B6" s="7" t="s">
        <v>8</v>
      </c>
      <c r="C6" s="7" t="s">
        <v>9</v>
      </c>
      <c r="D6" s="8" t="s">
        <v>10</v>
      </c>
    </row>
    <row r="7" customFormat="false" ht="30" hidden="false" customHeight="true" outlineLevel="0" collapsed="false">
      <c r="A7" s="9" t="s">
        <v>11</v>
      </c>
      <c r="B7" s="10" t="s">
        <v>12</v>
      </c>
      <c r="C7" s="10" t="s">
        <v>13</v>
      </c>
      <c r="D7" s="11" t="s">
        <v>14</v>
      </c>
    </row>
    <row r="8" customFormat="false" ht="30" hidden="false" customHeight="true" outlineLevel="0" collapsed="false">
      <c r="A8" s="6" t="s">
        <v>15</v>
      </c>
      <c r="B8" s="7" t="s">
        <v>16</v>
      </c>
      <c r="C8" s="7" t="s">
        <v>17</v>
      </c>
      <c r="D8" s="8" t="s">
        <v>18</v>
      </c>
    </row>
    <row r="9" customFormat="false" ht="30" hidden="false" customHeight="true" outlineLevel="0" collapsed="false">
      <c r="A9" s="9" t="s">
        <v>19</v>
      </c>
      <c r="B9" s="10" t="s">
        <v>20</v>
      </c>
      <c r="C9" s="10" t="s">
        <v>21</v>
      </c>
      <c r="D9" s="11" t="s">
        <v>22</v>
      </c>
    </row>
    <row r="10" customFormat="false" ht="30" hidden="false" customHeight="true" outlineLevel="0" collapsed="false">
      <c r="A10" s="6" t="s">
        <v>23</v>
      </c>
      <c r="B10" s="7" t="s">
        <v>24</v>
      </c>
      <c r="C10" s="7" t="s">
        <v>25</v>
      </c>
      <c r="D10" s="8" t="s">
        <v>26</v>
      </c>
    </row>
    <row r="11" customFormat="false" ht="30" hidden="false" customHeight="true" outlineLevel="0" collapsed="false">
      <c r="A11" s="9" t="s">
        <v>27</v>
      </c>
      <c r="B11" s="10" t="s">
        <v>28</v>
      </c>
      <c r="C11" s="10" t="s">
        <v>25</v>
      </c>
      <c r="D11" s="11" t="s">
        <v>29</v>
      </c>
    </row>
    <row r="14" customFormat="false" ht="15" hidden="false" customHeight="true" outlineLevel="0" collapsed="false">
      <c r="A14" s="12" t="s">
        <v>30</v>
      </c>
      <c r="B14" s="12"/>
      <c r="C14" s="12"/>
      <c r="D14" s="12"/>
      <c r="E14" s="12"/>
      <c r="F14" s="12"/>
      <c r="G14" s="12"/>
      <c r="H14" s="12"/>
    </row>
    <row r="15" customFormat="false" ht="18" hidden="false" customHeight="true" outlineLevel="0" collapsed="false">
      <c r="A15" s="13" t="s">
        <v>31</v>
      </c>
      <c r="B15" s="14" t="s">
        <v>32</v>
      </c>
      <c r="C15" s="14"/>
      <c r="D15" s="14"/>
      <c r="E15" s="14"/>
      <c r="F15" s="14"/>
      <c r="G15" s="14"/>
      <c r="H15" s="14"/>
    </row>
    <row r="16" customFormat="false" ht="18" hidden="false" customHeight="true" outlineLevel="0" collapsed="false">
      <c r="A16" s="15" t="s">
        <v>33</v>
      </c>
      <c r="B16" s="14" t="s">
        <v>34</v>
      </c>
      <c r="C16" s="14"/>
      <c r="D16" s="14"/>
      <c r="E16" s="14"/>
      <c r="F16" s="14"/>
      <c r="G16" s="14"/>
      <c r="H16" s="14"/>
    </row>
    <row r="17" customFormat="false" ht="18" hidden="false" customHeight="true" outlineLevel="0" collapsed="false">
      <c r="A17" s="16" t="s">
        <v>35</v>
      </c>
      <c r="B17" s="14" t="s">
        <v>36</v>
      </c>
      <c r="C17" s="14"/>
      <c r="D17" s="14"/>
      <c r="E17" s="14"/>
      <c r="F17" s="14"/>
      <c r="G17" s="14"/>
      <c r="H17" s="14"/>
    </row>
    <row r="18" customFormat="false" ht="18" hidden="false" customHeight="true" outlineLevel="0" collapsed="false">
      <c r="A18" s="17" t="s">
        <v>37</v>
      </c>
      <c r="B18" s="14" t="s">
        <v>38</v>
      </c>
      <c r="C18" s="14"/>
      <c r="D18" s="14"/>
      <c r="E18" s="14"/>
      <c r="F18" s="14"/>
      <c r="G18" s="14"/>
      <c r="H18" s="14"/>
    </row>
    <row r="19" customFormat="false" ht="18" hidden="false" customHeight="true" outlineLevel="0" collapsed="false">
      <c r="A19" s="18" t="s">
        <v>39</v>
      </c>
      <c r="B19" s="14" t="s">
        <v>40</v>
      </c>
      <c r="C19" s="14"/>
      <c r="D19" s="14"/>
      <c r="E19" s="14"/>
      <c r="F19" s="14"/>
      <c r="G19" s="14"/>
      <c r="H19" s="14"/>
    </row>
    <row r="20" customFormat="false" ht="18" hidden="false" customHeight="true" outlineLevel="0" collapsed="false">
      <c r="A20" s="19" t="s">
        <v>41</v>
      </c>
      <c r="B20" s="14" t="s">
        <v>42</v>
      </c>
      <c r="C20" s="14"/>
      <c r="D20" s="14"/>
      <c r="E20" s="14"/>
      <c r="F20" s="14"/>
      <c r="G20" s="14"/>
      <c r="H20" s="14"/>
    </row>
    <row r="21" customFormat="false" ht="18" hidden="false" customHeight="true" outlineLevel="0" collapsed="false">
      <c r="A21" s="16" t="s">
        <v>43</v>
      </c>
      <c r="B21" s="14" t="s">
        <v>44</v>
      </c>
      <c r="C21" s="14"/>
      <c r="D21" s="14"/>
      <c r="E21" s="14"/>
      <c r="F21" s="14"/>
      <c r="G21" s="14"/>
      <c r="H21" s="14"/>
    </row>
    <row r="22" customFormat="false" ht="18" hidden="false" customHeight="true" outlineLevel="0" collapsed="false">
      <c r="A22" s="20" t="s">
        <v>45</v>
      </c>
      <c r="B22" s="14" t="s">
        <v>46</v>
      </c>
      <c r="C22" s="14"/>
      <c r="D22" s="14"/>
      <c r="E22" s="14"/>
      <c r="F22" s="14"/>
      <c r="G22" s="14"/>
      <c r="H22" s="14"/>
    </row>
  </sheetData>
  <mergeCells count="11">
    <mergeCell ref="A1:H1"/>
    <mergeCell ref="A2:H2"/>
    <mergeCell ref="A14:H14"/>
    <mergeCell ref="B15:H15"/>
    <mergeCell ref="B16:H16"/>
    <mergeCell ref="B17:H17"/>
    <mergeCell ref="B18:H18"/>
    <mergeCell ref="B19:H19"/>
    <mergeCell ref="B20:H20"/>
    <mergeCell ref="B21:H21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2"/>
    <col collapsed="false" customWidth="true" hidden="false" outlineLevel="0" max="3" min="3" style="1" width="8"/>
    <col collapsed="false" customWidth="true" hidden="false" outlineLevel="0" max="4" min="4" style="1" width="9"/>
    <col collapsed="false" customWidth="true" hidden="false" outlineLevel="0" max="7" min="5" style="1" width="8"/>
    <col collapsed="false" customWidth="true" hidden="false" outlineLevel="0" max="8" min="8" style="1" width="10"/>
    <col collapsed="false" customWidth="true" hidden="false" outlineLevel="0" max="9" min="9" style="1" width="8"/>
    <col collapsed="false" customWidth="true" hidden="false" outlineLevel="0" max="11" min="10" style="1" width="7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1"/>
    <col collapsed="false" customWidth="true" hidden="false" outlineLevel="0" max="17" min="16" style="1" width="9"/>
    <col collapsed="false" customWidth="true" hidden="false" outlineLevel="0" max="18" min="18" style="1" width="48"/>
  </cols>
  <sheetData>
    <row r="1" customFormat="false" ht="36" hidden="false" customHeight="true" outlineLevel="0" collapsed="false">
      <c r="A1" s="21" t="s">
        <v>47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2" hidden="false" customHeight="true" outlineLevel="0" collapsed="false">
      <c r="A2" s="22" t="s">
        <v>48</v>
      </c>
      <c r="B2" s="22" t="s">
        <v>49</v>
      </c>
      <c r="C2" s="22" t="s">
        <v>50</v>
      </c>
      <c r="D2" s="23" t="s">
        <v>51</v>
      </c>
      <c r="E2" s="23"/>
      <c r="F2" s="23" t="s">
        <v>52</v>
      </c>
      <c r="G2" s="23"/>
      <c r="H2" s="22" t="s">
        <v>53</v>
      </c>
      <c r="I2" s="22" t="s">
        <v>54</v>
      </c>
      <c r="J2" s="23" t="s">
        <v>55</v>
      </c>
      <c r="K2" s="23"/>
      <c r="L2" s="22" t="s">
        <v>56</v>
      </c>
      <c r="M2" s="22" t="s">
        <v>57</v>
      </c>
      <c r="N2" s="22" t="s">
        <v>58</v>
      </c>
      <c r="O2" s="22" t="s">
        <v>59</v>
      </c>
      <c r="P2" s="22" t="s">
        <v>60</v>
      </c>
      <c r="Q2" s="22" t="s">
        <v>61</v>
      </c>
      <c r="R2" s="22" t="s">
        <v>62</v>
      </c>
    </row>
    <row r="3" customFormat="false" ht="18" hidden="false" customHeight="true" outlineLevel="0" collapsed="false">
      <c r="A3" s="24"/>
      <c r="B3" s="24"/>
      <c r="C3" s="24"/>
      <c r="D3" s="24" t="s">
        <v>63</v>
      </c>
      <c r="E3" s="24" t="s">
        <v>64</v>
      </c>
      <c r="F3" s="24" t="s">
        <v>65</v>
      </c>
      <c r="G3" s="24" t="s">
        <v>66</v>
      </c>
      <c r="H3" s="24"/>
      <c r="I3" s="24"/>
      <c r="J3" s="24" t="s">
        <v>67</v>
      </c>
      <c r="K3" s="24" t="s">
        <v>68</v>
      </c>
      <c r="L3" s="24"/>
      <c r="M3" s="24"/>
      <c r="N3" s="24"/>
      <c r="O3" s="24"/>
      <c r="P3" s="24"/>
      <c r="Q3" s="24"/>
      <c r="R3" s="24"/>
    </row>
    <row r="4" customFormat="false" ht="24" hidden="false" customHeight="true" outlineLevel="0" collapsed="false">
      <c r="A4" s="25" t="s">
        <v>69</v>
      </c>
      <c r="B4" s="18" t="s">
        <v>70</v>
      </c>
      <c r="C4" s="18" t="s">
        <v>71</v>
      </c>
      <c r="D4" s="18" t="n">
        <v>3.7</v>
      </c>
      <c r="E4" s="18" t="n">
        <v>3</v>
      </c>
      <c r="F4" s="18" t="n">
        <v>200</v>
      </c>
      <c r="G4" s="18" t="n">
        <v>400</v>
      </c>
      <c r="H4" s="18" t="n">
        <v>700</v>
      </c>
      <c r="I4" s="18" t="n">
        <v>500</v>
      </c>
      <c r="J4" s="18" t="n">
        <v>-20</v>
      </c>
      <c r="K4" s="18" t="n">
        <v>60</v>
      </c>
      <c r="L4" s="18" t="n">
        <v>2</v>
      </c>
      <c r="M4" s="18" t="n">
        <v>30</v>
      </c>
      <c r="N4" s="18" t="n">
        <v>100</v>
      </c>
      <c r="O4" s="18" t="n">
        <v>99.5</v>
      </c>
      <c r="P4" s="18" t="s">
        <v>72</v>
      </c>
      <c r="Q4" s="18" t="s">
        <v>73</v>
      </c>
      <c r="R4" s="26" t="s">
        <v>74</v>
      </c>
    </row>
    <row r="5" customFormat="false" ht="24" hidden="false" customHeight="true" outlineLevel="0" collapsed="false">
      <c r="A5" s="27" t="s">
        <v>75</v>
      </c>
      <c r="B5" s="19" t="s">
        <v>76</v>
      </c>
      <c r="C5" s="19" t="s">
        <v>77</v>
      </c>
      <c r="D5" s="19" t="n">
        <v>3.6</v>
      </c>
      <c r="E5" s="19" t="n">
        <v>3</v>
      </c>
      <c r="F5" s="19" t="n">
        <v>250</v>
      </c>
      <c r="G5" s="19" t="n">
        <v>620</v>
      </c>
      <c r="H5" s="19" t="n">
        <v>500</v>
      </c>
      <c r="I5" s="19" t="n">
        <v>1000</v>
      </c>
      <c r="J5" s="19" t="n">
        <v>-20</v>
      </c>
      <c r="K5" s="19" t="n">
        <v>60</v>
      </c>
      <c r="L5" s="19" t="n">
        <v>2</v>
      </c>
      <c r="M5" s="19" t="n">
        <v>10</v>
      </c>
      <c r="N5" s="19" t="n">
        <v>35</v>
      </c>
      <c r="O5" s="19" t="n">
        <v>99.5</v>
      </c>
      <c r="P5" s="19" t="s">
        <v>72</v>
      </c>
      <c r="Q5" s="19" t="s">
        <v>73</v>
      </c>
      <c r="R5" s="28" t="s">
        <v>78</v>
      </c>
    </row>
    <row r="6" customFormat="false" ht="24" hidden="false" customHeight="true" outlineLevel="0" collapsed="false">
      <c r="A6" s="9" t="s">
        <v>79</v>
      </c>
      <c r="B6" s="10" t="s">
        <v>80</v>
      </c>
      <c r="C6" s="10" t="s">
        <v>77</v>
      </c>
      <c r="D6" s="10" t="n">
        <v>3.65</v>
      </c>
      <c r="E6" s="10" t="n">
        <v>3</v>
      </c>
      <c r="F6" s="10" t="n">
        <v>260</v>
      </c>
      <c r="G6" s="10" t="n">
        <v>650</v>
      </c>
      <c r="H6" s="10" t="n">
        <v>500</v>
      </c>
      <c r="I6" s="10" t="n">
        <v>2000</v>
      </c>
      <c r="J6" s="10" t="n">
        <v>-20</v>
      </c>
      <c r="K6" s="10" t="n">
        <v>60</v>
      </c>
      <c r="L6" s="10" t="n">
        <v>2</v>
      </c>
      <c r="M6" s="10" t="n">
        <v>10</v>
      </c>
      <c r="N6" s="10" t="n">
        <v>30</v>
      </c>
      <c r="O6" s="10" t="n">
        <v>99.5</v>
      </c>
      <c r="P6" s="10" t="s">
        <v>72</v>
      </c>
      <c r="Q6" s="10" t="s">
        <v>73</v>
      </c>
      <c r="R6" s="11" t="s">
        <v>81</v>
      </c>
    </row>
    <row r="7" customFormat="false" ht="24" hidden="false" customHeight="true" outlineLevel="0" collapsed="false">
      <c r="A7" s="29" t="s">
        <v>82</v>
      </c>
      <c r="B7" s="16" t="s">
        <v>83</v>
      </c>
      <c r="C7" s="16" t="s">
        <v>84</v>
      </c>
      <c r="D7" s="16" t="n">
        <v>3.2</v>
      </c>
      <c r="E7" s="16" t="n">
        <v>2.5</v>
      </c>
      <c r="F7" s="16" t="n">
        <v>120</v>
      </c>
      <c r="G7" s="16" t="n">
        <v>250</v>
      </c>
      <c r="H7" s="16" t="n">
        <v>400</v>
      </c>
      <c r="I7" s="16" t="n">
        <v>3000</v>
      </c>
      <c r="J7" s="16" t="n">
        <v>-20</v>
      </c>
      <c r="K7" s="16" t="n">
        <v>60</v>
      </c>
      <c r="L7" s="16" t="n">
        <v>1</v>
      </c>
      <c r="M7" s="16" t="n">
        <v>5</v>
      </c>
      <c r="N7" s="16" t="n">
        <v>30</v>
      </c>
      <c r="O7" s="16" t="n">
        <v>99.8</v>
      </c>
      <c r="P7" s="16" t="s">
        <v>85</v>
      </c>
      <c r="Q7" s="16" t="s">
        <v>72</v>
      </c>
      <c r="R7" s="30" t="s">
        <v>86</v>
      </c>
    </row>
    <row r="8" customFormat="false" ht="24" hidden="false" customHeight="true" outlineLevel="0" collapsed="false">
      <c r="A8" s="9" t="s">
        <v>87</v>
      </c>
      <c r="B8" s="10" t="s">
        <v>88</v>
      </c>
      <c r="C8" s="10" t="s">
        <v>89</v>
      </c>
      <c r="D8" s="10" t="n">
        <v>2.4</v>
      </c>
      <c r="E8" s="10" t="n">
        <v>1.8</v>
      </c>
      <c r="F8" s="10" t="n">
        <v>80</v>
      </c>
      <c r="G8" s="10" t="n">
        <v>160</v>
      </c>
      <c r="H8" s="10" t="n">
        <v>900</v>
      </c>
      <c r="I8" s="10" t="n">
        <v>20000</v>
      </c>
      <c r="J8" s="10" t="n">
        <v>-40</v>
      </c>
      <c r="K8" s="10" t="n">
        <v>65</v>
      </c>
      <c r="L8" s="10" t="n">
        <v>1</v>
      </c>
      <c r="M8" s="10" t="n">
        <v>10</v>
      </c>
      <c r="N8" s="10" t="n">
        <v>50</v>
      </c>
      <c r="O8" s="10" t="n">
        <v>98</v>
      </c>
      <c r="P8" s="10" t="s">
        <v>90</v>
      </c>
      <c r="Q8" s="10" t="s">
        <v>85</v>
      </c>
      <c r="R8" s="11" t="s">
        <v>91</v>
      </c>
    </row>
    <row r="9" customFormat="false" ht="24" hidden="false" customHeight="true" outlineLevel="0" collapsed="false">
      <c r="A9" s="31" t="s">
        <v>92</v>
      </c>
      <c r="B9" s="20" t="s">
        <v>93</v>
      </c>
      <c r="C9" s="20" t="s">
        <v>92</v>
      </c>
      <c r="D9" s="20" t="n">
        <v>3.7</v>
      </c>
      <c r="E9" s="20" t="n">
        <v>3</v>
      </c>
      <c r="F9" s="20" t="n">
        <v>350</v>
      </c>
      <c r="G9" s="20" t="n">
        <v>800</v>
      </c>
      <c r="H9" s="20" t="n">
        <v>600</v>
      </c>
      <c r="I9" s="20" t="n">
        <v>1000</v>
      </c>
      <c r="J9" s="20" t="n">
        <v>-20</v>
      </c>
      <c r="K9" s="20" t="n">
        <v>80</v>
      </c>
      <c r="L9" s="20" t="n">
        <v>1</v>
      </c>
      <c r="M9" s="20" t="n">
        <v>15</v>
      </c>
      <c r="N9" s="20" t="n">
        <v>50</v>
      </c>
      <c r="O9" s="20" t="n">
        <v>99.6</v>
      </c>
      <c r="P9" s="20" t="s">
        <v>85</v>
      </c>
      <c r="Q9" s="20" t="s">
        <v>85</v>
      </c>
      <c r="R9" s="32" t="s">
        <v>94</v>
      </c>
    </row>
    <row r="10" customFormat="false" ht="24" hidden="false" customHeight="true" outlineLevel="0" collapsed="false">
      <c r="A10" s="33" t="s">
        <v>95</v>
      </c>
      <c r="B10" s="34" t="s">
        <v>96</v>
      </c>
      <c r="C10" s="34" t="s">
        <v>97</v>
      </c>
      <c r="D10" s="34" t="n">
        <v>3.8</v>
      </c>
      <c r="E10" s="34" t="n">
        <v>3</v>
      </c>
      <c r="F10" s="34" t="n">
        <v>400</v>
      </c>
      <c r="G10" s="34" t="n">
        <v>900</v>
      </c>
      <c r="H10" s="34" t="n">
        <v>700</v>
      </c>
      <c r="I10" s="34" t="n">
        <v>2000</v>
      </c>
      <c r="J10" s="34" t="n">
        <v>-20</v>
      </c>
      <c r="K10" s="34" t="n">
        <v>100</v>
      </c>
      <c r="L10" s="34" t="n">
        <v>0</v>
      </c>
      <c r="M10" s="34" t="n">
        <v>10</v>
      </c>
      <c r="N10" s="34" t="n">
        <v>30</v>
      </c>
      <c r="O10" s="34" t="n">
        <v>99.8</v>
      </c>
      <c r="P10" s="34" t="s">
        <v>90</v>
      </c>
      <c r="Q10" s="34" t="s">
        <v>90</v>
      </c>
      <c r="R10" s="35" t="s">
        <v>98</v>
      </c>
    </row>
    <row r="11" customFormat="false" ht="24" hidden="false" customHeight="true" outlineLevel="0" collapsed="false">
      <c r="A11" s="36" t="s">
        <v>99</v>
      </c>
      <c r="B11" s="37" t="s">
        <v>100</v>
      </c>
      <c r="C11" s="37" t="s">
        <v>101</v>
      </c>
      <c r="D11" s="37" t="n">
        <v>1.2</v>
      </c>
      <c r="E11" s="37" t="n">
        <v>0.9</v>
      </c>
      <c r="F11" s="37" t="n">
        <v>100</v>
      </c>
      <c r="G11" s="37" t="n">
        <v>300</v>
      </c>
      <c r="H11" s="37" t="n">
        <v>200</v>
      </c>
      <c r="I11" s="37" t="n">
        <v>500</v>
      </c>
      <c r="J11" s="37" t="n">
        <v>-20</v>
      </c>
      <c r="K11" s="37" t="n">
        <v>60</v>
      </c>
      <c r="L11" s="37" t="n">
        <v>30</v>
      </c>
      <c r="M11" s="37" t="n">
        <v>5</v>
      </c>
      <c r="N11" s="37" t="n">
        <v>15</v>
      </c>
      <c r="O11" s="37" t="n">
        <v>85</v>
      </c>
      <c r="P11" s="37" t="s">
        <v>85</v>
      </c>
      <c r="Q11" s="37" t="s">
        <v>72</v>
      </c>
      <c r="R11" s="38" t="s">
        <v>102</v>
      </c>
    </row>
    <row r="12" customFormat="false" ht="24" hidden="false" customHeight="true" outlineLevel="0" collapsed="false">
      <c r="A12" s="9" t="s">
        <v>103</v>
      </c>
      <c r="B12" s="10" t="s">
        <v>104</v>
      </c>
      <c r="C12" s="10" t="s">
        <v>105</v>
      </c>
      <c r="D12" s="10" t="n">
        <v>3.8</v>
      </c>
      <c r="E12" s="10" t="n">
        <v>3</v>
      </c>
      <c r="F12" s="10" t="n">
        <v>220</v>
      </c>
      <c r="G12" s="10" t="n">
        <v>440</v>
      </c>
      <c r="H12" s="10" t="n">
        <v>750</v>
      </c>
      <c r="I12" s="10" t="n">
        <v>300</v>
      </c>
      <c r="J12" s="10" t="n">
        <v>-10</v>
      </c>
      <c r="K12" s="10" t="n">
        <v>60</v>
      </c>
      <c r="L12" s="10" t="n">
        <v>2</v>
      </c>
      <c r="M12" s="10" t="n">
        <v>25</v>
      </c>
      <c r="N12" s="10" t="n">
        <v>80</v>
      </c>
      <c r="O12" s="10" t="n">
        <v>99.5</v>
      </c>
      <c r="P12" s="10" t="s">
        <v>72</v>
      </c>
      <c r="Q12" s="10" t="s">
        <v>73</v>
      </c>
      <c r="R12" s="11" t="s">
        <v>106</v>
      </c>
    </row>
  </sheetData>
  <mergeCells count="4">
    <mergeCell ref="A1:R1"/>
    <mergeCell ref="D2:E2"/>
    <mergeCell ref="F2:G2"/>
    <mergeCell ref="J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9" min="6" style="1" width="10"/>
    <col collapsed="false" customWidth="true" hidden="false" outlineLevel="0" max="11" min="10" style="1" width="8"/>
    <col collapsed="false" customWidth="true" hidden="false" outlineLevel="0" max="12" min="12" style="1" width="12"/>
    <col collapsed="false" customWidth="true" hidden="false" outlineLevel="0" max="13" min="13" style="1" width="8"/>
    <col collapsed="false" customWidth="true" hidden="false" outlineLevel="0" max="16" min="14" style="1" width="11"/>
    <col collapsed="false" customWidth="true" hidden="false" outlineLevel="0" max="17" min="17" style="1" width="10"/>
    <col collapsed="false" customWidth="true" hidden="false" outlineLevel="0" max="18" min="18" style="1" width="13"/>
    <col collapsed="false" customWidth="true" hidden="false" outlineLevel="0" max="19" min="19" style="1" width="10"/>
    <col collapsed="false" customWidth="true" hidden="false" outlineLevel="0" max="20" min="20" style="1" width="44"/>
  </cols>
  <sheetData>
    <row r="1" customFormat="false" ht="36" hidden="false" customHeight="true" outlineLevel="0" collapsed="false">
      <c r="A1" s="21" t="s">
        <v>107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</row>
    <row r="2" customFormat="false" ht="43.5" hidden="false" customHeight="true" outlineLevel="0" collapsed="false">
      <c r="A2" s="22" t="s">
        <v>108</v>
      </c>
      <c r="B2" s="22" t="s">
        <v>109</v>
      </c>
      <c r="C2" s="22" t="s">
        <v>110</v>
      </c>
      <c r="D2" s="22" t="s">
        <v>111</v>
      </c>
      <c r="E2" s="22" t="s">
        <v>112</v>
      </c>
      <c r="F2" s="22" t="s">
        <v>113</v>
      </c>
      <c r="G2" s="22" t="s">
        <v>114</v>
      </c>
      <c r="H2" s="22" t="s">
        <v>115</v>
      </c>
      <c r="I2" s="22" t="s">
        <v>116</v>
      </c>
      <c r="J2" s="22" t="s">
        <v>117</v>
      </c>
      <c r="K2" s="22" t="s">
        <v>118</v>
      </c>
      <c r="L2" s="22" t="s">
        <v>119</v>
      </c>
      <c r="M2" s="22" t="s">
        <v>120</v>
      </c>
      <c r="N2" s="22" t="s">
        <v>121</v>
      </c>
      <c r="O2" s="22" t="s">
        <v>122</v>
      </c>
      <c r="P2" s="22" t="s">
        <v>123</v>
      </c>
      <c r="Q2" s="22" t="s">
        <v>124</v>
      </c>
      <c r="R2" s="22" t="s">
        <v>125</v>
      </c>
      <c r="S2" s="22" t="s">
        <v>54</v>
      </c>
      <c r="T2" s="22" t="s">
        <v>126</v>
      </c>
    </row>
    <row r="3" customFormat="false" ht="21.75" hidden="false" customHeight="true" outlineLevel="0" collapsed="false">
      <c r="A3" s="39" t="s">
        <v>127</v>
      </c>
      <c r="B3" s="17" t="s">
        <v>128</v>
      </c>
      <c r="C3" s="17" t="s">
        <v>129</v>
      </c>
      <c r="D3" s="17" t="s">
        <v>69</v>
      </c>
      <c r="E3" s="17" t="s">
        <v>130</v>
      </c>
      <c r="F3" s="40" t="n">
        <v>14.8</v>
      </c>
      <c r="G3" s="40" t="n">
        <v>16.8</v>
      </c>
      <c r="H3" s="40" t="n">
        <v>12</v>
      </c>
      <c r="I3" s="40" t="n">
        <v>1.3</v>
      </c>
      <c r="J3" s="40" t="n">
        <v>19.2</v>
      </c>
      <c r="K3" s="40" t="n">
        <v>128</v>
      </c>
      <c r="L3" s="40" t="n">
        <v>150</v>
      </c>
      <c r="M3" s="40" t="n">
        <v>48</v>
      </c>
      <c r="N3" s="40" t="n">
        <v>400</v>
      </c>
      <c r="O3" s="40" t="n">
        <v>65</v>
      </c>
      <c r="P3" s="40" t="n">
        <v>130</v>
      </c>
      <c r="Q3" s="17" t="n">
        <v>1</v>
      </c>
      <c r="R3" s="17" t="n">
        <v>15</v>
      </c>
      <c r="S3" s="17" t="n">
        <v>300</v>
      </c>
      <c r="T3" s="41" t="s">
        <v>131</v>
      </c>
    </row>
    <row r="4" customFormat="false" ht="21.75" hidden="false" customHeight="true" outlineLevel="0" collapsed="false">
      <c r="A4" s="9" t="s">
        <v>132</v>
      </c>
      <c r="B4" s="10" t="s">
        <v>133</v>
      </c>
      <c r="C4" s="10" t="s">
        <v>134</v>
      </c>
      <c r="D4" s="10" t="s">
        <v>103</v>
      </c>
      <c r="E4" s="10" t="s">
        <v>130</v>
      </c>
      <c r="F4" s="42" t="n">
        <v>3.85</v>
      </c>
      <c r="G4" s="42" t="n">
        <v>4.35</v>
      </c>
      <c r="H4" s="42" t="n">
        <v>3</v>
      </c>
      <c r="I4" s="42" t="n">
        <v>0.55</v>
      </c>
      <c r="J4" s="42" t="n">
        <v>2.12</v>
      </c>
      <c r="K4" s="42" t="n">
        <v>14</v>
      </c>
      <c r="L4" s="42" t="n">
        <v>151</v>
      </c>
      <c r="M4" s="42" t="n">
        <v>6</v>
      </c>
      <c r="N4" s="42" t="n">
        <v>353</v>
      </c>
      <c r="O4" s="42" t="n">
        <v>5</v>
      </c>
      <c r="P4" s="42" t="n">
        <v>10</v>
      </c>
      <c r="Q4" s="10" t="n">
        <v>2</v>
      </c>
      <c r="R4" s="10" t="n">
        <v>30</v>
      </c>
      <c r="S4" s="10" t="n">
        <v>250</v>
      </c>
      <c r="T4" s="11" t="s">
        <v>135</v>
      </c>
    </row>
    <row r="5" customFormat="false" ht="21.75" hidden="false" customHeight="true" outlineLevel="0" collapsed="false">
      <c r="A5" s="39" t="s">
        <v>136</v>
      </c>
      <c r="B5" s="17" t="s">
        <v>137</v>
      </c>
      <c r="C5" s="17" t="s">
        <v>138</v>
      </c>
      <c r="D5" s="17" t="s">
        <v>69</v>
      </c>
      <c r="E5" s="17" t="s">
        <v>130</v>
      </c>
      <c r="F5" s="40" t="n">
        <v>3.7</v>
      </c>
      <c r="G5" s="40" t="n">
        <v>4.2</v>
      </c>
      <c r="H5" s="40" t="n">
        <v>3</v>
      </c>
      <c r="I5" s="40" t="n">
        <v>5.2</v>
      </c>
      <c r="J5" s="40" t="n">
        <v>19.2</v>
      </c>
      <c r="K5" s="40" t="n">
        <v>148</v>
      </c>
      <c r="L5" s="40" t="n">
        <v>130</v>
      </c>
      <c r="M5" s="40" t="n">
        <v>62</v>
      </c>
      <c r="N5" s="40" t="n">
        <v>310</v>
      </c>
      <c r="O5" s="40" t="n">
        <v>52</v>
      </c>
      <c r="P5" s="40" t="n">
        <v>156</v>
      </c>
      <c r="Q5" s="17" t="n">
        <v>1</v>
      </c>
      <c r="R5" s="17" t="n">
        <v>10</v>
      </c>
      <c r="S5" s="17" t="n">
        <v>200</v>
      </c>
      <c r="T5" s="41" t="s">
        <v>139</v>
      </c>
    </row>
    <row r="6" customFormat="false" ht="21.75" hidden="false" customHeight="true" outlineLevel="0" collapsed="false">
      <c r="A6" s="27" t="s">
        <v>140</v>
      </c>
      <c r="B6" s="19" t="s">
        <v>141</v>
      </c>
      <c r="C6" s="19" t="s">
        <v>142</v>
      </c>
      <c r="D6" s="19" t="s">
        <v>75</v>
      </c>
      <c r="E6" s="19" t="s">
        <v>143</v>
      </c>
      <c r="F6" s="43" t="n">
        <v>3.6</v>
      </c>
      <c r="G6" s="43" t="n">
        <v>4.2</v>
      </c>
      <c r="H6" s="43" t="n">
        <v>2.5</v>
      </c>
      <c r="I6" s="43" t="n">
        <v>3</v>
      </c>
      <c r="J6" s="43" t="n">
        <v>10.8</v>
      </c>
      <c r="K6" s="43" t="n">
        <v>48.5</v>
      </c>
      <c r="L6" s="43" t="n">
        <v>223</v>
      </c>
      <c r="M6" s="43" t="n">
        <v>16.5</v>
      </c>
      <c r="N6" s="43" t="n">
        <v>655</v>
      </c>
      <c r="O6" s="43" t="n">
        <v>15</v>
      </c>
      <c r="P6" s="43" t="n">
        <v>20</v>
      </c>
      <c r="Q6" s="19" t="n">
        <v>0.5</v>
      </c>
      <c r="R6" s="19" t="n">
        <v>28</v>
      </c>
      <c r="S6" s="19" t="n">
        <v>500</v>
      </c>
      <c r="T6" s="28" t="s">
        <v>144</v>
      </c>
    </row>
    <row r="7" customFormat="false" ht="21.75" hidden="false" customHeight="true" outlineLevel="0" collapsed="false">
      <c r="A7" s="39" t="s">
        <v>145</v>
      </c>
      <c r="B7" s="17" t="s">
        <v>141</v>
      </c>
      <c r="C7" s="17" t="s">
        <v>146</v>
      </c>
      <c r="D7" s="17" t="s">
        <v>79</v>
      </c>
      <c r="E7" s="17" t="s">
        <v>147</v>
      </c>
      <c r="F7" s="40" t="n">
        <v>3.65</v>
      </c>
      <c r="G7" s="40" t="n">
        <v>4.2</v>
      </c>
      <c r="H7" s="40" t="n">
        <v>2.5</v>
      </c>
      <c r="I7" s="40" t="n">
        <v>4</v>
      </c>
      <c r="J7" s="40" t="n">
        <v>14.6</v>
      </c>
      <c r="K7" s="40" t="n">
        <v>69</v>
      </c>
      <c r="L7" s="40" t="n">
        <v>211</v>
      </c>
      <c r="M7" s="40" t="n">
        <v>33.8</v>
      </c>
      <c r="N7" s="40" t="n">
        <v>432</v>
      </c>
      <c r="O7" s="40" t="n">
        <v>35</v>
      </c>
      <c r="P7" s="40" t="n">
        <v>45</v>
      </c>
      <c r="Q7" s="17" t="n">
        <v>1</v>
      </c>
      <c r="R7" s="17" t="n">
        <v>18</v>
      </c>
      <c r="S7" s="17" t="n">
        <v>500</v>
      </c>
      <c r="T7" s="41" t="s">
        <v>148</v>
      </c>
    </row>
    <row r="8" customFormat="false" ht="21.75" hidden="false" customHeight="true" outlineLevel="0" collapsed="false">
      <c r="A8" s="9" t="s">
        <v>149</v>
      </c>
      <c r="B8" s="10" t="s">
        <v>150</v>
      </c>
      <c r="C8" s="10" t="s">
        <v>151</v>
      </c>
      <c r="D8" s="10" t="s">
        <v>79</v>
      </c>
      <c r="E8" s="10" t="s">
        <v>147</v>
      </c>
      <c r="F8" s="42" t="n">
        <v>3.65</v>
      </c>
      <c r="G8" s="42" t="n">
        <v>4.2</v>
      </c>
      <c r="H8" s="42" t="n">
        <v>2.5</v>
      </c>
      <c r="I8" s="42" t="n">
        <v>4.5</v>
      </c>
      <c r="J8" s="42" t="n">
        <v>16.4</v>
      </c>
      <c r="K8" s="42" t="n">
        <v>70</v>
      </c>
      <c r="L8" s="42" t="n">
        <v>234</v>
      </c>
      <c r="M8" s="42" t="n">
        <v>34</v>
      </c>
      <c r="N8" s="42" t="n">
        <v>483</v>
      </c>
      <c r="O8" s="42" t="n">
        <v>45</v>
      </c>
      <c r="P8" s="42" t="n">
        <v>90</v>
      </c>
      <c r="Q8" s="10" t="n">
        <v>1</v>
      </c>
      <c r="R8" s="10" t="n">
        <v>14</v>
      </c>
      <c r="S8" s="10" t="n">
        <v>800</v>
      </c>
      <c r="T8" s="11" t="s">
        <v>152</v>
      </c>
    </row>
    <row r="9" customFormat="false" ht="21.75" hidden="false" customHeight="true" outlineLevel="0" collapsed="false">
      <c r="A9" s="39" t="s">
        <v>153</v>
      </c>
      <c r="B9" s="17" t="s">
        <v>154</v>
      </c>
      <c r="C9" s="17" t="s">
        <v>155</v>
      </c>
      <c r="D9" s="17" t="s">
        <v>79</v>
      </c>
      <c r="E9" s="17" t="s">
        <v>147</v>
      </c>
      <c r="F9" s="40" t="n">
        <v>3.63</v>
      </c>
      <c r="G9" s="40" t="n">
        <v>4.2</v>
      </c>
      <c r="H9" s="40" t="n">
        <v>2.5</v>
      </c>
      <c r="I9" s="40" t="n">
        <v>5</v>
      </c>
      <c r="J9" s="40" t="n">
        <v>18.2</v>
      </c>
      <c r="K9" s="40" t="n">
        <v>70.5</v>
      </c>
      <c r="L9" s="40" t="n">
        <v>258</v>
      </c>
      <c r="M9" s="40" t="n">
        <v>34.2</v>
      </c>
      <c r="N9" s="40" t="n">
        <v>532</v>
      </c>
      <c r="O9" s="40" t="n">
        <v>14</v>
      </c>
      <c r="P9" s="40" t="n">
        <v>20</v>
      </c>
      <c r="Q9" s="17" t="n">
        <v>0.5</v>
      </c>
      <c r="R9" s="17" t="n">
        <v>22</v>
      </c>
      <c r="S9" s="17" t="n">
        <v>500</v>
      </c>
      <c r="T9" s="41" t="s">
        <v>156</v>
      </c>
    </row>
    <row r="10" customFormat="false" ht="21.75" hidden="false" customHeight="true" outlineLevel="0" collapsed="false">
      <c r="A10" s="29" t="s">
        <v>157</v>
      </c>
      <c r="B10" s="16" t="s">
        <v>158</v>
      </c>
      <c r="C10" s="16" t="s">
        <v>159</v>
      </c>
      <c r="D10" s="16" t="s">
        <v>82</v>
      </c>
      <c r="E10" s="16" t="s">
        <v>160</v>
      </c>
      <c r="F10" s="44" t="n">
        <v>3.3</v>
      </c>
      <c r="G10" s="44" t="n">
        <v>3.6</v>
      </c>
      <c r="H10" s="44" t="n">
        <v>2</v>
      </c>
      <c r="I10" s="44" t="n">
        <v>2.5</v>
      </c>
      <c r="J10" s="44" t="n">
        <v>8.25</v>
      </c>
      <c r="K10" s="44" t="n">
        <v>76</v>
      </c>
      <c r="L10" s="44" t="n">
        <v>109</v>
      </c>
      <c r="M10" s="44" t="n">
        <v>30</v>
      </c>
      <c r="N10" s="44" t="n">
        <v>275</v>
      </c>
      <c r="O10" s="44" t="n">
        <v>70</v>
      </c>
      <c r="P10" s="44" t="n">
        <v>120</v>
      </c>
      <c r="Q10" s="16" t="n">
        <v>4</v>
      </c>
      <c r="R10" s="16" t="n">
        <v>8</v>
      </c>
      <c r="S10" s="16" t="n">
        <v>2000</v>
      </c>
      <c r="T10" s="30" t="s">
        <v>161</v>
      </c>
    </row>
    <row r="11" customFormat="false" ht="21.75" hidden="false" customHeight="true" outlineLevel="0" collapsed="false">
      <c r="A11" s="39" t="s">
        <v>162</v>
      </c>
      <c r="B11" s="17" t="s">
        <v>163</v>
      </c>
      <c r="C11" s="17" t="s">
        <v>164</v>
      </c>
      <c r="D11" s="17" t="s">
        <v>82</v>
      </c>
      <c r="E11" s="17" t="s">
        <v>165</v>
      </c>
      <c r="F11" s="40" t="n">
        <v>3.2</v>
      </c>
      <c r="G11" s="40" t="n">
        <v>3.65</v>
      </c>
      <c r="H11" s="40" t="n">
        <v>2</v>
      </c>
      <c r="I11" s="40" t="n">
        <v>10</v>
      </c>
      <c r="J11" s="40" t="n">
        <v>32</v>
      </c>
      <c r="K11" s="40" t="n">
        <v>310</v>
      </c>
      <c r="L11" s="40" t="n">
        <v>103</v>
      </c>
      <c r="M11" s="40" t="n">
        <v>136</v>
      </c>
      <c r="N11" s="40" t="n">
        <v>235</v>
      </c>
      <c r="O11" s="40" t="n">
        <v>30</v>
      </c>
      <c r="P11" s="40" t="n">
        <v>60</v>
      </c>
      <c r="Q11" s="17" t="n">
        <v>1</v>
      </c>
      <c r="R11" s="17" t="n">
        <v>5</v>
      </c>
      <c r="S11" s="17" t="n">
        <v>2000</v>
      </c>
      <c r="T11" s="41" t="s">
        <v>166</v>
      </c>
    </row>
    <row r="12" customFormat="false" ht="21.75" hidden="false" customHeight="true" outlineLevel="0" collapsed="false">
      <c r="A12" s="31" t="s">
        <v>167</v>
      </c>
      <c r="B12" s="20" t="s">
        <v>168</v>
      </c>
      <c r="C12" s="20" t="s">
        <v>169</v>
      </c>
      <c r="D12" s="20" t="s">
        <v>92</v>
      </c>
      <c r="E12" s="20" t="s">
        <v>130</v>
      </c>
      <c r="F12" s="45" t="n">
        <v>3.7</v>
      </c>
      <c r="G12" s="45" t="n">
        <v>4.25</v>
      </c>
      <c r="H12" s="45" t="n">
        <v>3</v>
      </c>
      <c r="I12" s="45" t="n">
        <v>5</v>
      </c>
      <c r="J12" s="45" t="n">
        <v>18.5</v>
      </c>
      <c r="K12" s="45" t="n">
        <v>182</v>
      </c>
      <c r="L12" s="45" t="n">
        <v>101</v>
      </c>
      <c r="M12" s="45" t="s">
        <v>170</v>
      </c>
      <c r="N12" s="45" t="s">
        <v>170</v>
      </c>
      <c r="O12" s="45" t="n">
        <v>12</v>
      </c>
      <c r="P12" s="45" t="n">
        <v>25</v>
      </c>
      <c r="Q12" s="20" t="n">
        <v>0.5</v>
      </c>
      <c r="R12" s="20" t="n">
        <v>20</v>
      </c>
      <c r="S12" s="20" t="n">
        <v>800</v>
      </c>
      <c r="T12" s="32" t="s">
        <v>171</v>
      </c>
    </row>
    <row r="13" customFormat="false" ht="21.75" hidden="false" customHeight="true" outlineLevel="0" collapsed="false">
      <c r="A13" s="39" t="s">
        <v>172</v>
      </c>
      <c r="B13" s="17" t="s">
        <v>173</v>
      </c>
      <c r="C13" s="17" t="s">
        <v>174</v>
      </c>
      <c r="D13" s="17" t="s">
        <v>95</v>
      </c>
      <c r="E13" s="17" t="s">
        <v>175</v>
      </c>
      <c r="F13" s="40" t="n">
        <v>3.8</v>
      </c>
      <c r="G13" s="40" t="n">
        <v>4.4</v>
      </c>
      <c r="H13" s="40" t="n">
        <v>3</v>
      </c>
      <c r="I13" s="40" t="n">
        <v>3</v>
      </c>
      <c r="J13" s="40" t="n">
        <v>11.4</v>
      </c>
      <c r="K13" s="40" t="n">
        <v>48</v>
      </c>
      <c r="L13" s="40" t="n">
        <v>237</v>
      </c>
      <c r="M13" s="40" t="n">
        <v>22</v>
      </c>
      <c r="N13" s="40" t="n">
        <v>518</v>
      </c>
      <c r="O13" s="40" t="n">
        <v>10</v>
      </c>
      <c r="P13" s="40" t="n">
        <v>20</v>
      </c>
      <c r="Q13" s="17" t="n">
        <v>0.3</v>
      </c>
      <c r="R13" s="17" t="n">
        <v>12</v>
      </c>
      <c r="S13" s="17" t="n">
        <v>1500</v>
      </c>
      <c r="T13" s="41" t="s">
        <v>176</v>
      </c>
    </row>
  </sheetData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7" min="5" style="1" width="7"/>
    <col collapsed="false" customWidth="true" hidden="false" outlineLevel="0" max="11" min="8" style="1" width="10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13"/>
    <col collapsed="false" customWidth="true" hidden="false" outlineLevel="0" max="15" min="15" style="1" width="10"/>
    <col collapsed="false" customWidth="true" hidden="false" outlineLevel="0" max="17" min="16" style="1" width="12"/>
    <col collapsed="false" customWidth="true" hidden="false" outlineLevel="0" max="18" min="18" style="1" width="13"/>
    <col collapsed="false" customWidth="true" hidden="false" outlineLevel="0" max="20" min="19" style="1" width="11"/>
    <col collapsed="false" customWidth="true" hidden="false" outlineLevel="0" max="21" min="21" style="1" width="10"/>
    <col collapsed="false" customWidth="true" hidden="false" outlineLevel="0" max="22" min="22" style="1" width="16"/>
    <col collapsed="false" customWidth="true" hidden="false" outlineLevel="0" max="23" min="23" style="1" width="44"/>
  </cols>
  <sheetData>
    <row r="1" customFormat="false" ht="36" hidden="false" customHeight="true" outlineLevel="0" collapsed="false">
      <c r="A1" s="21" t="s">
        <v>177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customFormat="false" ht="43.5" hidden="false" customHeight="true" outlineLevel="0" collapsed="false">
      <c r="A2" s="22" t="s">
        <v>178</v>
      </c>
      <c r="B2" s="22" t="s">
        <v>179</v>
      </c>
      <c r="C2" s="22" t="s">
        <v>180</v>
      </c>
      <c r="D2" s="22" t="s">
        <v>181</v>
      </c>
      <c r="E2" s="22" t="s">
        <v>182</v>
      </c>
      <c r="F2" s="22" t="s">
        <v>183</v>
      </c>
      <c r="G2" s="22" t="s">
        <v>184</v>
      </c>
      <c r="H2" s="22" t="s">
        <v>185</v>
      </c>
      <c r="I2" s="22" t="s">
        <v>186</v>
      </c>
      <c r="J2" s="22" t="s">
        <v>187</v>
      </c>
      <c r="K2" s="22" t="s">
        <v>188</v>
      </c>
      <c r="L2" s="22" t="s">
        <v>189</v>
      </c>
      <c r="M2" s="22" t="s">
        <v>190</v>
      </c>
      <c r="N2" s="22" t="s">
        <v>119</v>
      </c>
      <c r="O2" s="22" t="s">
        <v>191</v>
      </c>
      <c r="P2" s="22" t="s">
        <v>121</v>
      </c>
      <c r="Q2" s="22" t="s">
        <v>122</v>
      </c>
      <c r="R2" s="22" t="s">
        <v>192</v>
      </c>
      <c r="S2" s="22" t="s">
        <v>193</v>
      </c>
      <c r="T2" s="22" t="s">
        <v>194</v>
      </c>
      <c r="U2" s="22" t="s">
        <v>195</v>
      </c>
      <c r="V2" s="22" t="s">
        <v>196</v>
      </c>
      <c r="W2" s="22" t="s">
        <v>126</v>
      </c>
    </row>
    <row r="3" customFormat="false" ht="24" hidden="false" customHeight="true" outlineLevel="0" collapsed="false">
      <c r="A3" s="25" t="s">
        <v>197</v>
      </c>
      <c r="B3" s="18" t="s">
        <v>198</v>
      </c>
      <c r="C3" s="18" t="s">
        <v>127</v>
      </c>
      <c r="D3" s="18" t="s">
        <v>69</v>
      </c>
      <c r="E3" s="18" t="n">
        <v>4</v>
      </c>
      <c r="F3" s="18" t="n">
        <v>1</v>
      </c>
      <c r="G3" s="18" t="n">
        <v>4</v>
      </c>
      <c r="H3" s="18" t="n">
        <v>14.8</v>
      </c>
      <c r="I3" s="18" t="n">
        <v>16.8</v>
      </c>
      <c r="J3" s="18" t="n">
        <v>12</v>
      </c>
      <c r="K3" s="18" t="n">
        <v>1.3</v>
      </c>
      <c r="L3" s="18" t="n">
        <v>19.2</v>
      </c>
      <c r="M3" s="18" t="n">
        <v>128</v>
      </c>
      <c r="N3" s="18" t="n">
        <v>150</v>
      </c>
      <c r="O3" s="18" t="n">
        <v>48</v>
      </c>
      <c r="P3" s="18" t="n">
        <v>400</v>
      </c>
      <c r="Q3" s="18" t="n">
        <v>65</v>
      </c>
      <c r="R3" s="18" t="n">
        <v>962</v>
      </c>
      <c r="S3" s="18" t="n">
        <v>50</v>
      </c>
      <c r="T3" s="18" t="n">
        <v>15</v>
      </c>
      <c r="U3" s="18" t="n">
        <v>300</v>
      </c>
      <c r="V3" s="18" t="s">
        <v>199</v>
      </c>
      <c r="W3" s="26" t="s">
        <v>200</v>
      </c>
    </row>
    <row r="4" customFormat="false" ht="24" hidden="false" customHeight="true" outlineLevel="0" collapsed="false">
      <c r="A4" s="39" t="s">
        <v>201</v>
      </c>
      <c r="B4" s="17" t="s">
        <v>202</v>
      </c>
      <c r="C4" s="17" t="s">
        <v>132</v>
      </c>
      <c r="D4" s="17" t="s">
        <v>103</v>
      </c>
      <c r="E4" s="17" t="n">
        <v>1</v>
      </c>
      <c r="F4" s="17" t="n">
        <v>1</v>
      </c>
      <c r="G4" s="17" t="n">
        <v>1</v>
      </c>
      <c r="H4" s="17" t="n">
        <v>3.85</v>
      </c>
      <c r="I4" s="17" t="n">
        <v>4.35</v>
      </c>
      <c r="J4" s="17" t="n">
        <v>3</v>
      </c>
      <c r="K4" s="17" t="n">
        <v>0.55</v>
      </c>
      <c r="L4" s="17" t="n">
        <v>2.12</v>
      </c>
      <c r="M4" s="17" t="n">
        <v>14</v>
      </c>
      <c r="N4" s="17" t="n">
        <v>151</v>
      </c>
      <c r="O4" s="17" t="n">
        <v>6</v>
      </c>
      <c r="P4" s="17" t="n">
        <v>353</v>
      </c>
      <c r="Q4" s="17" t="n">
        <v>5</v>
      </c>
      <c r="R4" s="17" t="n">
        <v>19</v>
      </c>
      <c r="S4" s="17" t="n">
        <v>9</v>
      </c>
      <c r="T4" s="17" t="n">
        <v>30</v>
      </c>
      <c r="U4" s="17" t="n">
        <v>250</v>
      </c>
      <c r="V4" s="17" t="s">
        <v>203</v>
      </c>
      <c r="W4" s="41" t="s">
        <v>204</v>
      </c>
    </row>
    <row r="5" customFormat="false" ht="24" hidden="false" customHeight="true" outlineLevel="0" collapsed="false">
      <c r="A5" s="9" t="s">
        <v>205</v>
      </c>
      <c r="B5" s="10" t="s">
        <v>206</v>
      </c>
      <c r="C5" s="10" t="s">
        <v>149</v>
      </c>
      <c r="D5" s="10" t="s">
        <v>79</v>
      </c>
      <c r="E5" s="10" t="n">
        <v>6</v>
      </c>
      <c r="F5" s="10" t="n">
        <v>2</v>
      </c>
      <c r="G5" s="10" t="n">
        <v>12</v>
      </c>
      <c r="H5" s="10" t="n">
        <v>21.9</v>
      </c>
      <c r="I5" s="10" t="n">
        <v>25.2</v>
      </c>
      <c r="J5" s="10" t="n">
        <v>15</v>
      </c>
      <c r="K5" s="10" t="n">
        <v>9</v>
      </c>
      <c r="L5" s="10" t="n">
        <v>197</v>
      </c>
      <c r="M5" s="10" t="n">
        <v>840</v>
      </c>
      <c r="N5" s="10" t="n">
        <v>235</v>
      </c>
      <c r="O5" s="10" t="n">
        <v>408</v>
      </c>
      <c r="P5" s="10" t="n">
        <v>481</v>
      </c>
      <c r="Q5" s="10" t="n">
        <v>90</v>
      </c>
      <c r="R5" s="10" t="n">
        <v>1971</v>
      </c>
      <c r="S5" s="10" t="n">
        <v>10</v>
      </c>
      <c r="T5" s="10" t="n">
        <v>28</v>
      </c>
      <c r="U5" s="10" t="n">
        <v>800</v>
      </c>
      <c r="V5" s="10" t="s">
        <v>207</v>
      </c>
      <c r="W5" s="11" t="s">
        <v>208</v>
      </c>
    </row>
    <row r="6" customFormat="false" ht="24" hidden="false" customHeight="true" outlineLevel="0" collapsed="false">
      <c r="A6" s="39" t="s">
        <v>209</v>
      </c>
      <c r="B6" s="17" t="s">
        <v>210</v>
      </c>
      <c r="C6" s="17" t="s">
        <v>153</v>
      </c>
      <c r="D6" s="17" t="s">
        <v>79</v>
      </c>
      <c r="E6" s="17" t="n">
        <v>6</v>
      </c>
      <c r="F6" s="17" t="n">
        <v>4</v>
      </c>
      <c r="G6" s="17" t="n">
        <v>24</v>
      </c>
      <c r="H6" s="17" t="n">
        <v>21.8</v>
      </c>
      <c r="I6" s="17" t="n">
        <v>25.2</v>
      </c>
      <c r="J6" s="17" t="n">
        <v>15</v>
      </c>
      <c r="K6" s="17" t="n">
        <v>20</v>
      </c>
      <c r="L6" s="17" t="n">
        <v>436</v>
      </c>
      <c r="M6" s="17" t="n">
        <v>1692</v>
      </c>
      <c r="N6" s="17" t="n">
        <v>258</v>
      </c>
      <c r="O6" s="17" t="n">
        <v>820</v>
      </c>
      <c r="P6" s="17" t="n">
        <v>532</v>
      </c>
      <c r="Q6" s="17" t="n">
        <v>56</v>
      </c>
      <c r="R6" s="17" t="n">
        <v>1221</v>
      </c>
      <c r="S6" s="17" t="n">
        <v>2.8</v>
      </c>
      <c r="T6" s="17" t="n">
        <v>88</v>
      </c>
      <c r="U6" s="17" t="n">
        <v>500</v>
      </c>
      <c r="V6" s="17" t="s">
        <v>211</v>
      </c>
      <c r="W6" s="41" t="s">
        <v>212</v>
      </c>
    </row>
    <row r="7" customFormat="false" ht="24" hidden="false" customHeight="true" outlineLevel="0" collapsed="false">
      <c r="A7" s="29" t="s">
        <v>213</v>
      </c>
      <c r="B7" s="16" t="s">
        <v>214</v>
      </c>
      <c r="C7" s="16" t="s">
        <v>162</v>
      </c>
      <c r="D7" s="16" t="s">
        <v>82</v>
      </c>
      <c r="E7" s="16" t="n">
        <v>6</v>
      </c>
      <c r="F7" s="16" t="n">
        <v>1</v>
      </c>
      <c r="G7" s="16" t="n">
        <v>6</v>
      </c>
      <c r="H7" s="16" t="n">
        <v>19.2</v>
      </c>
      <c r="I7" s="16" t="n">
        <v>21.9</v>
      </c>
      <c r="J7" s="16" t="n">
        <v>12</v>
      </c>
      <c r="K7" s="16" t="n">
        <v>10</v>
      </c>
      <c r="L7" s="16" t="n">
        <v>192</v>
      </c>
      <c r="M7" s="16" t="n">
        <v>1860</v>
      </c>
      <c r="N7" s="16" t="n">
        <v>103</v>
      </c>
      <c r="O7" s="16" t="n">
        <v>816</v>
      </c>
      <c r="P7" s="16" t="n">
        <v>235</v>
      </c>
      <c r="Q7" s="16" t="n">
        <v>30</v>
      </c>
      <c r="R7" s="16" t="n">
        <v>576</v>
      </c>
      <c r="S7" s="16" t="n">
        <v>3</v>
      </c>
      <c r="T7" s="16" t="n">
        <v>5</v>
      </c>
      <c r="U7" s="16" t="n">
        <v>2000</v>
      </c>
      <c r="V7" s="16" t="s">
        <v>215</v>
      </c>
      <c r="W7" s="30" t="s">
        <v>216</v>
      </c>
    </row>
    <row r="8" customFormat="false" ht="24" hidden="false" customHeight="true" outlineLevel="0" collapsed="false">
      <c r="A8" s="39" t="s">
        <v>217</v>
      </c>
      <c r="B8" s="17" t="s">
        <v>218</v>
      </c>
      <c r="C8" s="17" t="s">
        <v>157</v>
      </c>
      <c r="D8" s="17" t="s">
        <v>82</v>
      </c>
      <c r="E8" s="17" t="n">
        <v>6</v>
      </c>
      <c r="F8" s="17" t="n">
        <v>2</v>
      </c>
      <c r="G8" s="17" t="n">
        <v>12</v>
      </c>
      <c r="H8" s="17" t="n">
        <v>19.8</v>
      </c>
      <c r="I8" s="17" t="n">
        <v>21.6</v>
      </c>
      <c r="J8" s="17" t="n">
        <v>12</v>
      </c>
      <c r="K8" s="17" t="n">
        <v>5</v>
      </c>
      <c r="L8" s="17" t="n">
        <v>99</v>
      </c>
      <c r="M8" s="17" t="n">
        <v>912</v>
      </c>
      <c r="N8" s="17" t="n">
        <v>109</v>
      </c>
      <c r="O8" s="17" t="n">
        <v>360</v>
      </c>
      <c r="P8" s="17" t="n">
        <v>275</v>
      </c>
      <c r="Q8" s="17" t="n">
        <v>140</v>
      </c>
      <c r="R8" s="17" t="n">
        <v>2772</v>
      </c>
      <c r="S8" s="17" t="n">
        <v>28</v>
      </c>
      <c r="T8" s="17" t="n">
        <v>16</v>
      </c>
      <c r="U8" s="17" t="n">
        <v>2000</v>
      </c>
      <c r="V8" s="17" t="s">
        <v>219</v>
      </c>
      <c r="W8" s="41" t="s">
        <v>220</v>
      </c>
    </row>
    <row r="9" customFormat="false" ht="24" hidden="false" customHeight="true" outlineLevel="0" collapsed="false">
      <c r="A9" s="9" t="s">
        <v>221</v>
      </c>
      <c r="B9" s="10" t="s">
        <v>222</v>
      </c>
      <c r="C9" s="10" t="s">
        <v>145</v>
      </c>
      <c r="D9" s="10" t="s">
        <v>79</v>
      </c>
      <c r="E9" s="10" t="n">
        <v>12</v>
      </c>
      <c r="F9" s="10" t="n">
        <v>2</v>
      </c>
      <c r="G9" s="10" t="n">
        <v>24</v>
      </c>
      <c r="H9" s="10" t="n">
        <v>43.8</v>
      </c>
      <c r="I9" s="10" t="n">
        <v>50.4</v>
      </c>
      <c r="J9" s="10" t="n">
        <v>30</v>
      </c>
      <c r="K9" s="10" t="n">
        <v>8</v>
      </c>
      <c r="L9" s="10" t="n">
        <v>350</v>
      </c>
      <c r="M9" s="10" t="n">
        <v>1656</v>
      </c>
      <c r="N9" s="10" t="n">
        <v>212</v>
      </c>
      <c r="O9" s="10" t="n">
        <v>810</v>
      </c>
      <c r="P9" s="10" t="n">
        <v>432</v>
      </c>
      <c r="Q9" s="10" t="n">
        <v>70</v>
      </c>
      <c r="R9" s="10" t="n">
        <v>3066</v>
      </c>
      <c r="S9" s="10" t="n">
        <v>8.75</v>
      </c>
      <c r="T9" s="10" t="n">
        <v>36</v>
      </c>
      <c r="U9" s="10" t="n">
        <v>500</v>
      </c>
      <c r="V9" s="10" t="s">
        <v>223</v>
      </c>
      <c r="W9" s="11" t="s">
        <v>224</v>
      </c>
    </row>
    <row r="10" customFormat="false" ht="24" hidden="false" customHeight="true" outlineLevel="0" collapsed="false">
      <c r="A10" s="39" t="s">
        <v>225</v>
      </c>
      <c r="B10" s="17" t="s">
        <v>226</v>
      </c>
      <c r="C10" s="17" t="s">
        <v>167</v>
      </c>
      <c r="D10" s="17" t="s">
        <v>92</v>
      </c>
      <c r="E10" s="17" t="n">
        <v>6</v>
      </c>
      <c r="F10" s="17" t="n">
        <v>1</v>
      </c>
      <c r="G10" s="17" t="n">
        <v>6</v>
      </c>
      <c r="H10" s="17" t="n">
        <v>22.2</v>
      </c>
      <c r="I10" s="17" t="n">
        <v>25.5</v>
      </c>
      <c r="J10" s="17" t="n">
        <v>18</v>
      </c>
      <c r="K10" s="17" t="n">
        <v>5</v>
      </c>
      <c r="L10" s="17" t="n">
        <v>111</v>
      </c>
      <c r="M10" s="17" t="n">
        <v>606</v>
      </c>
      <c r="N10" s="17" t="n">
        <v>183</v>
      </c>
      <c r="O10" s="17" t="s">
        <v>170</v>
      </c>
      <c r="P10" s="17" t="s">
        <v>170</v>
      </c>
      <c r="Q10" s="17" t="n">
        <v>12</v>
      </c>
      <c r="R10" s="17" t="n">
        <v>266</v>
      </c>
      <c r="S10" s="17" t="n">
        <v>2.4</v>
      </c>
      <c r="T10" s="17" t="n">
        <v>20</v>
      </c>
      <c r="U10" s="17" t="n">
        <v>800</v>
      </c>
      <c r="V10" s="17" t="s">
        <v>227</v>
      </c>
      <c r="W10" s="41" t="s">
        <v>228</v>
      </c>
    </row>
  </sheetData>
  <mergeCells count="1">
    <mergeCell ref="A1:W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18"/>
    <col collapsed="false" customWidth="true" hidden="false" outlineLevel="0" max="7" min="7" style="1" width="28"/>
  </cols>
  <sheetData>
    <row r="1" customFormat="false" ht="36" hidden="false" customHeight="true" outlineLevel="0" collapsed="false">
      <c r="A1" s="21" t="s">
        <v>229</v>
      </c>
      <c r="B1" s="21"/>
      <c r="C1" s="21"/>
      <c r="D1" s="21"/>
      <c r="E1" s="21"/>
      <c r="F1" s="21"/>
      <c r="G1" s="21"/>
    </row>
    <row r="2" customFormat="false" ht="27.75" hidden="false" customHeight="true" outlineLevel="0" collapsed="false">
      <c r="A2" s="5" t="s">
        <v>230</v>
      </c>
      <c r="B2" s="5" t="s">
        <v>231</v>
      </c>
      <c r="C2" s="5" t="s">
        <v>232</v>
      </c>
      <c r="D2" s="5" t="s">
        <v>233</v>
      </c>
      <c r="E2" s="5" t="s">
        <v>234</v>
      </c>
      <c r="F2" s="5" t="s">
        <v>235</v>
      </c>
      <c r="G2" s="5" t="s">
        <v>126</v>
      </c>
    </row>
    <row r="3" customFormat="false" ht="15" hidden="false" customHeight="true" outlineLevel="0" collapsed="false">
      <c r="A3" s="18" t="s">
        <v>69</v>
      </c>
      <c r="B3" s="10" t="n">
        <v>0.5</v>
      </c>
      <c r="C3" s="10" t="n">
        <v>25</v>
      </c>
      <c r="D3" s="10" t="n">
        <v>100</v>
      </c>
      <c r="E3" s="46" t="n">
        <v>4.199</v>
      </c>
      <c r="F3" s="46" t="n">
        <v>99.5</v>
      </c>
      <c r="G3" s="10" t="s">
        <v>236</v>
      </c>
    </row>
    <row r="4" customFormat="false" ht="15" hidden="false" customHeight="true" outlineLevel="0" collapsed="false">
      <c r="A4" s="18" t="s">
        <v>69</v>
      </c>
      <c r="B4" s="17" t="n">
        <v>0.5</v>
      </c>
      <c r="C4" s="17" t="n">
        <v>25</v>
      </c>
      <c r="D4" s="17" t="n">
        <v>90</v>
      </c>
      <c r="E4" s="47" t="n">
        <v>4.078</v>
      </c>
      <c r="F4" s="47" t="n">
        <v>89.5</v>
      </c>
      <c r="G4" s="17" t="s">
        <v>236</v>
      </c>
    </row>
    <row r="5" customFormat="false" ht="15" hidden="false" customHeight="true" outlineLevel="0" collapsed="false">
      <c r="A5" s="18" t="s">
        <v>69</v>
      </c>
      <c r="B5" s="10" t="n">
        <v>0.5</v>
      </c>
      <c r="C5" s="10" t="n">
        <v>25</v>
      </c>
      <c r="D5" s="10" t="n">
        <v>80</v>
      </c>
      <c r="E5" s="46" t="n">
        <v>3.957</v>
      </c>
      <c r="F5" s="46" t="n">
        <v>79.6</v>
      </c>
      <c r="G5" s="10" t="s">
        <v>236</v>
      </c>
    </row>
    <row r="6" customFormat="false" ht="15" hidden="false" customHeight="true" outlineLevel="0" collapsed="false">
      <c r="A6" s="18" t="s">
        <v>69</v>
      </c>
      <c r="B6" s="17" t="n">
        <v>0.5</v>
      </c>
      <c r="C6" s="17" t="n">
        <v>25</v>
      </c>
      <c r="D6" s="17" t="n">
        <v>70</v>
      </c>
      <c r="E6" s="47" t="n">
        <v>3.836</v>
      </c>
      <c r="F6" s="47" t="n">
        <v>69.7</v>
      </c>
      <c r="G6" s="17" t="s">
        <v>236</v>
      </c>
    </row>
    <row r="7" customFormat="false" ht="15" hidden="false" customHeight="true" outlineLevel="0" collapsed="false">
      <c r="A7" s="18" t="s">
        <v>69</v>
      </c>
      <c r="B7" s="10" t="n">
        <v>0.5</v>
      </c>
      <c r="C7" s="10" t="n">
        <v>25</v>
      </c>
      <c r="D7" s="10" t="n">
        <v>60</v>
      </c>
      <c r="E7" s="46" t="n">
        <v>3.715</v>
      </c>
      <c r="F7" s="46" t="n">
        <v>59.7</v>
      </c>
      <c r="G7" s="10" t="s">
        <v>236</v>
      </c>
    </row>
    <row r="8" customFormat="false" ht="15" hidden="false" customHeight="true" outlineLevel="0" collapsed="false">
      <c r="A8" s="18" t="s">
        <v>69</v>
      </c>
      <c r="B8" s="17" t="n">
        <v>0.5</v>
      </c>
      <c r="C8" s="17" t="n">
        <v>25</v>
      </c>
      <c r="D8" s="17" t="n">
        <v>50</v>
      </c>
      <c r="E8" s="47" t="n">
        <v>3.594</v>
      </c>
      <c r="F8" s="47" t="n">
        <v>49.8</v>
      </c>
      <c r="G8" s="17" t="s">
        <v>236</v>
      </c>
    </row>
    <row r="9" customFormat="false" ht="15" hidden="false" customHeight="true" outlineLevel="0" collapsed="false">
      <c r="A9" s="18" t="s">
        <v>69</v>
      </c>
      <c r="B9" s="10" t="n">
        <v>0.5</v>
      </c>
      <c r="C9" s="10" t="n">
        <v>25</v>
      </c>
      <c r="D9" s="10" t="n">
        <v>40</v>
      </c>
      <c r="E9" s="46" t="n">
        <v>3.473</v>
      </c>
      <c r="F9" s="46" t="n">
        <v>39.8</v>
      </c>
      <c r="G9" s="10" t="s">
        <v>236</v>
      </c>
    </row>
    <row r="10" customFormat="false" ht="15" hidden="false" customHeight="true" outlineLevel="0" collapsed="false">
      <c r="A10" s="18" t="s">
        <v>69</v>
      </c>
      <c r="B10" s="17" t="n">
        <v>0.5</v>
      </c>
      <c r="C10" s="17" t="n">
        <v>25</v>
      </c>
      <c r="D10" s="17" t="n">
        <v>30</v>
      </c>
      <c r="E10" s="47" t="n">
        <v>3.352</v>
      </c>
      <c r="F10" s="47" t="n">
        <v>29.9</v>
      </c>
      <c r="G10" s="17" t="s">
        <v>236</v>
      </c>
    </row>
    <row r="11" customFormat="false" ht="15" hidden="false" customHeight="true" outlineLevel="0" collapsed="false">
      <c r="A11" s="18" t="s">
        <v>69</v>
      </c>
      <c r="B11" s="10" t="n">
        <v>0.5</v>
      </c>
      <c r="C11" s="10" t="n">
        <v>25</v>
      </c>
      <c r="D11" s="10" t="n">
        <v>20</v>
      </c>
      <c r="E11" s="46" t="n">
        <v>3.231</v>
      </c>
      <c r="F11" s="46" t="n">
        <v>19.9</v>
      </c>
      <c r="G11" s="10" t="s">
        <v>236</v>
      </c>
    </row>
    <row r="12" customFormat="false" ht="15" hidden="false" customHeight="true" outlineLevel="0" collapsed="false">
      <c r="A12" s="18" t="s">
        <v>69</v>
      </c>
      <c r="B12" s="17" t="n">
        <v>0.5</v>
      </c>
      <c r="C12" s="17" t="n">
        <v>25</v>
      </c>
      <c r="D12" s="17" t="n">
        <v>10</v>
      </c>
      <c r="E12" s="47" t="n">
        <v>3.11</v>
      </c>
      <c r="F12" s="47" t="n">
        <v>9.9</v>
      </c>
      <c r="G12" s="17" t="s">
        <v>236</v>
      </c>
    </row>
    <row r="13" customFormat="false" ht="15" hidden="false" customHeight="true" outlineLevel="0" collapsed="false">
      <c r="A13" s="18" t="s">
        <v>69</v>
      </c>
      <c r="B13" s="10" t="n">
        <v>0.5</v>
      </c>
      <c r="C13" s="10" t="n">
        <v>25</v>
      </c>
      <c r="D13" s="10" t="n">
        <v>5</v>
      </c>
      <c r="E13" s="46" t="n">
        <v>3.05</v>
      </c>
      <c r="F13" s="46" t="n">
        <v>5</v>
      </c>
      <c r="G13" s="10" t="s">
        <v>236</v>
      </c>
    </row>
    <row r="14" customFormat="false" ht="15" hidden="false" customHeight="true" outlineLevel="0" collapsed="false">
      <c r="A14" s="18" t="s">
        <v>69</v>
      </c>
      <c r="B14" s="17" t="n">
        <v>0.5</v>
      </c>
      <c r="C14" s="17" t="n">
        <v>25</v>
      </c>
      <c r="D14" s="17" t="n">
        <v>0</v>
      </c>
      <c r="E14" s="47" t="n">
        <v>3</v>
      </c>
      <c r="F14" s="47" t="n">
        <v>0</v>
      </c>
      <c r="G14" s="17" t="s">
        <v>236</v>
      </c>
    </row>
    <row r="15" customFormat="false" ht="15" hidden="false" customHeight="true" outlineLevel="0" collapsed="false">
      <c r="A15" s="18" t="s">
        <v>69</v>
      </c>
      <c r="B15" s="10" t="n">
        <v>1</v>
      </c>
      <c r="C15" s="10" t="n">
        <v>25</v>
      </c>
      <c r="D15" s="10" t="n">
        <v>100</v>
      </c>
      <c r="E15" s="46" t="n">
        <v>4.198</v>
      </c>
      <c r="F15" s="46" t="n">
        <v>99</v>
      </c>
      <c r="G15" s="10" t="s">
        <v>236</v>
      </c>
    </row>
    <row r="16" customFormat="false" ht="15" hidden="false" customHeight="true" outlineLevel="0" collapsed="false">
      <c r="A16" s="18" t="s">
        <v>69</v>
      </c>
      <c r="B16" s="17" t="n">
        <v>1</v>
      </c>
      <c r="C16" s="17" t="n">
        <v>25</v>
      </c>
      <c r="D16" s="17" t="n">
        <v>90</v>
      </c>
      <c r="E16" s="47" t="n">
        <v>4.076</v>
      </c>
      <c r="F16" s="47" t="n">
        <v>89.1</v>
      </c>
      <c r="G16" s="17" t="s">
        <v>236</v>
      </c>
    </row>
    <row r="17" customFormat="false" ht="15" hidden="false" customHeight="true" outlineLevel="0" collapsed="false">
      <c r="A17" s="18" t="s">
        <v>69</v>
      </c>
      <c r="B17" s="10" t="n">
        <v>1</v>
      </c>
      <c r="C17" s="10" t="n">
        <v>25</v>
      </c>
      <c r="D17" s="10" t="n">
        <v>80</v>
      </c>
      <c r="E17" s="46" t="n">
        <v>3.954</v>
      </c>
      <c r="F17" s="46" t="n">
        <v>79.2</v>
      </c>
      <c r="G17" s="10" t="s">
        <v>236</v>
      </c>
    </row>
    <row r="18" customFormat="false" ht="15" hidden="false" customHeight="true" outlineLevel="0" collapsed="false">
      <c r="A18" s="18" t="s">
        <v>69</v>
      </c>
      <c r="B18" s="17" t="n">
        <v>1</v>
      </c>
      <c r="C18" s="17" t="n">
        <v>25</v>
      </c>
      <c r="D18" s="17" t="n">
        <v>70</v>
      </c>
      <c r="E18" s="47" t="n">
        <v>3.832</v>
      </c>
      <c r="F18" s="47" t="n">
        <v>69.3</v>
      </c>
      <c r="G18" s="17" t="s">
        <v>236</v>
      </c>
    </row>
    <row r="19" customFormat="false" ht="15" hidden="false" customHeight="true" outlineLevel="0" collapsed="false">
      <c r="A19" s="18" t="s">
        <v>69</v>
      </c>
      <c r="B19" s="10" t="n">
        <v>1</v>
      </c>
      <c r="C19" s="10" t="n">
        <v>25</v>
      </c>
      <c r="D19" s="10" t="n">
        <v>60</v>
      </c>
      <c r="E19" s="46" t="n">
        <v>3.71</v>
      </c>
      <c r="F19" s="46" t="n">
        <v>59.4</v>
      </c>
      <c r="G19" s="10" t="s">
        <v>236</v>
      </c>
    </row>
    <row r="20" customFormat="false" ht="15" hidden="false" customHeight="true" outlineLevel="0" collapsed="false">
      <c r="A20" s="18" t="s">
        <v>69</v>
      </c>
      <c r="B20" s="17" t="n">
        <v>1</v>
      </c>
      <c r="C20" s="17" t="n">
        <v>25</v>
      </c>
      <c r="D20" s="17" t="n">
        <v>50</v>
      </c>
      <c r="E20" s="47" t="n">
        <v>3.588</v>
      </c>
      <c r="F20" s="47" t="n">
        <v>49.5</v>
      </c>
      <c r="G20" s="17" t="s">
        <v>236</v>
      </c>
    </row>
    <row r="21" customFormat="false" ht="15" hidden="false" customHeight="true" outlineLevel="0" collapsed="false">
      <c r="A21" s="18" t="s">
        <v>69</v>
      </c>
      <c r="B21" s="10" t="n">
        <v>1</v>
      </c>
      <c r="C21" s="10" t="n">
        <v>25</v>
      </c>
      <c r="D21" s="10" t="n">
        <v>40</v>
      </c>
      <c r="E21" s="46" t="n">
        <v>3.466</v>
      </c>
      <c r="F21" s="46" t="n">
        <v>39.6</v>
      </c>
      <c r="G21" s="10" t="s">
        <v>236</v>
      </c>
    </row>
    <row r="22" customFormat="false" ht="15" hidden="false" customHeight="true" outlineLevel="0" collapsed="false">
      <c r="A22" s="18" t="s">
        <v>69</v>
      </c>
      <c r="B22" s="17" t="n">
        <v>1</v>
      </c>
      <c r="C22" s="17" t="n">
        <v>25</v>
      </c>
      <c r="D22" s="17" t="n">
        <v>30</v>
      </c>
      <c r="E22" s="47" t="n">
        <v>3.344</v>
      </c>
      <c r="F22" s="47" t="n">
        <v>29.7</v>
      </c>
      <c r="G22" s="17" t="s">
        <v>236</v>
      </c>
    </row>
    <row r="23" customFormat="false" ht="15" hidden="false" customHeight="true" outlineLevel="0" collapsed="false">
      <c r="A23" s="18" t="s">
        <v>69</v>
      </c>
      <c r="B23" s="10" t="n">
        <v>1</v>
      </c>
      <c r="C23" s="10" t="n">
        <v>25</v>
      </c>
      <c r="D23" s="10" t="n">
        <v>20</v>
      </c>
      <c r="E23" s="46" t="n">
        <v>3.222</v>
      </c>
      <c r="F23" s="46" t="n">
        <v>19.8</v>
      </c>
      <c r="G23" s="10" t="s">
        <v>236</v>
      </c>
    </row>
    <row r="24" customFormat="false" ht="15" hidden="false" customHeight="true" outlineLevel="0" collapsed="false">
      <c r="A24" s="18" t="s">
        <v>69</v>
      </c>
      <c r="B24" s="17" t="n">
        <v>1</v>
      </c>
      <c r="C24" s="17" t="n">
        <v>25</v>
      </c>
      <c r="D24" s="17" t="n">
        <v>10</v>
      </c>
      <c r="E24" s="47" t="n">
        <v>3.1</v>
      </c>
      <c r="F24" s="47" t="n">
        <v>9.9</v>
      </c>
      <c r="G24" s="17" t="s">
        <v>236</v>
      </c>
    </row>
    <row r="25" customFormat="false" ht="15" hidden="false" customHeight="true" outlineLevel="0" collapsed="false">
      <c r="A25" s="18" t="s">
        <v>69</v>
      </c>
      <c r="B25" s="10" t="n">
        <v>1</v>
      </c>
      <c r="C25" s="10" t="n">
        <v>25</v>
      </c>
      <c r="D25" s="10" t="n">
        <v>5</v>
      </c>
      <c r="E25" s="46" t="n">
        <v>3.039</v>
      </c>
      <c r="F25" s="46" t="n">
        <v>5</v>
      </c>
      <c r="G25" s="10" t="s">
        <v>236</v>
      </c>
    </row>
    <row r="26" customFormat="false" ht="15" hidden="false" customHeight="true" outlineLevel="0" collapsed="false">
      <c r="A26" s="18" t="s">
        <v>69</v>
      </c>
      <c r="B26" s="17" t="n">
        <v>1</v>
      </c>
      <c r="C26" s="17" t="n">
        <v>25</v>
      </c>
      <c r="D26" s="17" t="n">
        <v>0</v>
      </c>
      <c r="E26" s="47" t="n">
        <v>3</v>
      </c>
      <c r="F26" s="47" t="n">
        <v>0</v>
      </c>
      <c r="G26" s="17" t="s">
        <v>236</v>
      </c>
    </row>
    <row r="27" customFormat="false" ht="15" hidden="false" customHeight="true" outlineLevel="0" collapsed="false">
      <c r="A27" s="18" t="s">
        <v>69</v>
      </c>
      <c r="B27" s="10" t="n">
        <v>2</v>
      </c>
      <c r="C27" s="10" t="n">
        <v>25</v>
      </c>
      <c r="D27" s="10" t="n">
        <v>100</v>
      </c>
      <c r="E27" s="46" t="n">
        <v>4.196</v>
      </c>
      <c r="F27" s="46" t="n">
        <v>98</v>
      </c>
      <c r="G27" s="10" t="s">
        <v>236</v>
      </c>
    </row>
    <row r="28" customFormat="false" ht="15" hidden="false" customHeight="true" outlineLevel="0" collapsed="false">
      <c r="A28" s="18" t="s">
        <v>69</v>
      </c>
      <c r="B28" s="17" t="n">
        <v>2</v>
      </c>
      <c r="C28" s="17" t="n">
        <v>25</v>
      </c>
      <c r="D28" s="17" t="n">
        <v>90</v>
      </c>
      <c r="E28" s="47" t="n">
        <v>4.072</v>
      </c>
      <c r="F28" s="47" t="n">
        <v>88.2</v>
      </c>
      <c r="G28" s="17" t="s">
        <v>236</v>
      </c>
    </row>
    <row r="29" customFormat="false" ht="15" hidden="false" customHeight="true" outlineLevel="0" collapsed="false">
      <c r="A29" s="18" t="s">
        <v>69</v>
      </c>
      <c r="B29" s="10" t="n">
        <v>2</v>
      </c>
      <c r="C29" s="10" t="n">
        <v>25</v>
      </c>
      <c r="D29" s="10" t="n">
        <v>80</v>
      </c>
      <c r="E29" s="46" t="n">
        <v>3.948</v>
      </c>
      <c r="F29" s="46" t="n">
        <v>78.4</v>
      </c>
      <c r="G29" s="10" t="s">
        <v>236</v>
      </c>
    </row>
    <row r="30" customFormat="false" ht="15" hidden="false" customHeight="true" outlineLevel="0" collapsed="false">
      <c r="A30" s="18" t="s">
        <v>69</v>
      </c>
      <c r="B30" s="17" t="n">
        <v>2</v>
      </c>
      <c r="C30" s="17" t="n">
        <v>25</v>
      </c>
      <c r="D30" s="17" t="n">
        <v>70</v>
      </c>
      <c r="E30" s="47" t="n">
        <v>3.824</v>
      </c>
      <c r="F30" s="47" t="n">
        <v>68.6</v>
      </c>
      <c r="G30" s="17" t="s">
        <v>236</v>
      </c>
    </row>
    <row r="31" customFormat="false" ht="15" hidden="false" customHeight="true" outlineLevel="0" collapsed="false">
      <c r="A31" s="18" t="s">
        <v>69</v>
      </c>
      <c r="B31" s="10" t="n">
        <v>2</v>
      </c>
      <c r="C31" s="10" t="n">
        <v>25</v>
      </c>
      <c r="D31" s="10" t="n">
        <v>60</v>
      </c>
      <c r="E31" s="46" t="n">
        <v>3.7</v>
      </c>
      <c r="F31" s="46" t="n">
        <v>58.8</v>
      </c>
      <c r="G31" s="10" t="s">
        <v>236</v>
      </c>
    </row>
    <row r="32" customFormat="false" ht="15" hidden="false" customHeight="true" outlineLevel="0" collapsed="false">
      <c r="A32" s="18" t="s">
        <v>69</v>
      </c>
      <c r="B32" s="17" t="n">
        <v>2</v>
      </c>
      <c r="C32" s="17" t="n">
        <v>25</v>
      </c>
      <c r="D32" s="17" t="n">
        <v>50</v>
      </c>
      <c r="E32" s="47" t="n">
        <v>3.576</v>
      </c>
      <c r="F32" s="47" t="n">
        <v>49</v>
      </c>
      <c r="G32" s="17" t="s">
        <v>236</v>
      </c>
    </row>
    <row r="33" customFormat="false" ht="15" hidden="false" customHeight="true" outlineLevel="0" collapsed="false">
      <c r="A33" s="18" t="s">
        <v>69</v>
      </c>
      <c r="B33" s="10" t="n">
        <v>2</v>
      </c>
      <c r="C33" s="10" t="n">
        <v>25</v>
      </c>
      <c r="D33" s="10" t="n">
        <v>40</v>
      </c>
      <c r="E33" s="46" t="n">
        <v>3.452</v>
      </c>
      <c r="F33" s="46" t="n">
        <v>39.2</v>
      </c>
      <c r="G33" s="10" t="s">
        <v>236</v>
      </c>
    </row>
    <row r="34" customFormat="false" ht="15" hidden="false" customHeight="true" outlineLevel="0" collapsed="false">
      <c r="A34" s="18" t="s">
        <v>69</v>
      </c>
      <c r="B34" s="17" t="n">
        <v>2</v>
      </c>
      <c r="C34" s="17" t="n">
        <v>25</v>
      </c>
      <c r="D34" s="17" t="n">
        <v>30</v>
      </c>
      <c r="E34" s="47" t="n">
        <v>3.328</v>
      </c>
      <c r="F34" s="47" t="n">
        <v>29.4</v>
      </c>
      <c r="G34" s="17" t="s">
        <v>236</v>
      </c>
    </row>
    <row r="35" customFormat="false" ht="15" hidden="false" customHeight="true" outlineLevel="0" collapsed="false">
      <c r="A35" s="18" t="s">
        <v>69</v>
      </c>
      <c r="B35" s="10" t="n">
        <v>2</v>
      </c>
      <c r="C35" s="10" t="n">
        <v>25</v>
      </c>
      <c r="D35" s="10" t="n">
        <v>20</v>
      </c>
      <c r="E35" s="46" t="n">
        <v>3.204</v>
      </c>
      <c r="F35" s="46" t="n">
        <v>19.6</v>
      </c>
      <c r="G35" s="10" t="s">
        <v>236</v>
      </c>
    </row>
    <row r="36" customFormat="false" ht="15" hidden="false" customHeight="true" outlineLevel="0" collapsed="false">
      <c r="A36" s="18" t="s">
        <v>69</v>
      </c>
      <c r="B36" s="17" t="n">
        <v>2</v>
      </c>
      <c r="C36" s="17" t="n">
        <v>25</v>
      </c>
      <c r="D36" s="17" t="n">
        <v>10</v>
      </c>
      <c r="E36" s="47" t="n">
        <v>3.08</v>
      </c>
      <c r="F36" s="47" t="n">
        <v>9.8</v>
      </c>
      <c r="G36" s="17" t="s">
        <v>236</v>
      </c>
    </row>
    <row r="37" customFormat="false" ht="15" hidden="false" customHeight="true" outlineLevel="0" collapsed="false">
      <c r="A37" s="18" t="s">
        <v>69</v>
      </c>
      <c r="B37" s="10" t="n">
        <v>2</v>
      </c>
      <c r="C37" s="10" t="n">
        <v>25</v>
      </c>
      <c r="D37" s="10" t="n">
        <v>5</v>
      </c>
      <c r="E37" s="46" t="n">
        <v>3.018</v>
      </c>
      <c r="F37" s="46" t="n">
        <v>4.9</v>
      </c>
      <c r="G37" s="10" t="s">
        <v>236</v>
      </c>
    </row>
    <row r="38" customFormat="false" ht="15" hidden="false" customHeight="true" outlineLevel="0" collapsed="false">
      <c r="A38" s="18" t="s">
        <v>69</v>
      </c>
      <c r="B38" s="17" t="n">
        <v>2</v>
      </c>
      <c r="C38" s="17" t="n">
        <v>25</v>
      </c>
      <c r="D38" s="17" t="n">
        <v>0</v>
      </c>
      <c r="E38" s="47" t="n">
        <v>3</v>
      </c>
      <c r="F38" s="47" t="n">
        <v>0</v>
      </c>
      <c r="G38" s="17" t="s">
        <v>236</v>
      </c>
    </row>
    <row r="39" customFormat="false" ht="15" hidden="false" customHeight="true" outlineLevel="0" collapsed="false">
      <c r="A39" s="18" t="s">
        <v>69</v>
      </c>
      <c r="B39" s="10" t="n">
        <v>5</v>
      </c>
      <c r="C39" s="10" t="n">
        <v>25</v>
      </c>
      <c r="D39" s="10" t="n">
        <v>100</v>
      </c>
      <c r="E39" s="46" t="n">
        <v>4.19</v>
      </c>
      <c r="F39" s="46" t="n">
        <v>95</v>
      </c>
      <c r="G39" s="10" t="s">
        <v>236</v>
      </c>
    </row>
    <row r="40" customFormat="false" ht="15" hidden="false" customHeight="true" outlineLevel="0" collapsed="false">
      <c r="A40" s="18" t="s">
        <v>69</v>
      </c>
      <c r="B40" s="17" t="n">
        <v>5</v>
      </c>
      <c r="C40" s="17" t="n">
        <v>25</v>
      </c>
      <c r="D40" s="17" t="n">
        <v>90</v>
      </c>
      <c r="E40" s="47" t="n">
        <v>4.06</v>
      </c>
      <c r="F40" s="47" t="n">
        <v>85.5</v>
      </c>
      <c r="G40" s="17" t="s">
        <v>236</v>
      </c>
    </row>
    <row r="41" customFormat="false" ht="15" hidden="false" customHeight="true" outlineLevel="0" collapsed="false">
      <c r="A41" s="18" t="s">
        <v>69</v>
      </c>
      <c r="B41" s="10" t="n">
        <v>5</v>
      </c>
      <c r="C41" s="10" t="n">
        <v>25</v>
      </c>
      <c r="D41" s="10" t="n">
        <v>80</v>
      </c>
      <c r="E41" s="46" t="n">
        <v>3.93</v>
      </c>
      <c r="F41" s="46" t="n">
        <v>76</v>
      </c>
      <c r="G41" s="10" t="s">
        <v>236</v>
      </c>
    </row>
    <row r="42" customFormat="false" ht="15" hidden="false" customHeight="true" outlineLevel="0" collapsed="false">
      <c r="A42" s="18" t="s">
        <v>69</v>
      </c>
      <c r="B42" s="17" t="n">
        <v>5</v>
      </c>
      <c r="C42" s="17" t="n">
        <v>25</v>
      </c>
      <c r="D42" s="17" t="n">
        <v>70</v>
      </c>
      <c r="E42" s="47" t="n">
        <v>3.8</v>
      </c>
      <c r="F42" s="47" t="n">
        <v>66.5</v>
      </c>
      <c r="G42" s="17" t="s">
        <v>236</v>
      </c>
    </row>
    <row r="43" customFormat="false" ht="15" hidden="false" customHeight="true" outlineLevel="0" collapsed="false">
      <c r="A43" s="18" t="s">
        <v>69</v>
      </c>
      <c r="B43" s="10" t="n">
        <v>5</v>
      </c>
      <c r="C43" s="10" t="n">
        <v>25</v>
      </c>
      <c r="D43" s="10" t="n">
        <v>60</v>
      </c>
      <c r="E43" s="46" t="n">
        <v>3.67</v>
      </c>
      <c r="F43" s="46" t="n">
        <v>57</v>
      </c>
      <c r="G43" s="10" t="s">
        <v>236</v>
      </c>
    </row>
    <row r="44" customFormat="false" ht="15" hidden="false" customHeight="true" outlineLevel="0" collapsed="false">
      <c r="A44" s="18" t="s">
        <v>69</v>
      </c>
      <c r="B44" s="17" t="n">
        <v>5</v>
      </c>
      <c r="C44" s="17" t="n">
        <v>25</v>
      </c>
      <c r="D44" s="17" t="n">
        <v>50</v>
      </c>
      <c r="E44" s="47" t="n">
        <v>3.54</v>
      </c>
      <c r="F44" s="47" t="n">
        <v>47.5</v>
      </c>
      <c r="G44" s="17" t="s">
        <v>236</v>
      </c>
    </row>
    <row r="45" customFormat="false" ht="15" hidden="false" customHeight="true" outlineLevel="0" collapsed="false">
      <c r="A45" s="18" t="s">
        <v>69</v>
      </c>
      <c r="B45" s="10" t="n">
        <v>5</v>
      </c>
      <c r="C45" s="10" t="n">
        <v>25</v>
      </c>
      <c r="D45" s="10" t="n">
        <v>40</v>
      </c>
      <c r="E45" s="46" t="n">
        <v>3.41</v>
      </c>
      <c r="F45" s="46" t="n">
        <v>38</v>
      </c>
      <c r="G45" s="10" t="s">
        <v>236</v>
      </c>
    </row>
    <row r="46" customFormat="false" ht="15" hidden="false" customHeight="true" outlineLevel="0" collapsed="false">
      <c r="A46" s="18" t="s">
        <v>69</v>
      </c>
      <c r="B46" s="17" t="n">
        <v>5</v>
      </c>
      <c r="C46" s="17" t="n">
        <v>25</v>
      </c>
      <c r="D46" s="17" t="n">
        <v>30</v>
      </c>
      <c r="E46" s="47" t="n">
        <v>3.28</v>
      </c>
      <c r="F46" s="47" t="n">
        <v>28.5</v>
      </c>
      <c r="G46" s="17" t="s">
        <v>236</v>
      </c>
    </row>
    <row r="47" customFormat="false" ht="15" hidden="false" customHeight="true" outlineLevel="0" collapsed="false">
      <c r="A47" s="18" t="s">
        <v>69</v>
      </c>
      <c r="B47" s="10" t="n">
        <v>5</v>
      </c>
      <c r="C47" s="10" t="n">
        <v>25</v>
      </c>
      <c r="D47" s="10" t="n">
        <v>20</v>
      </c>
      <c r="E47" s="46" t="n">
        <v>3.15</v>
      </c>
      <c r="F47" s="46" t="n">
        <v>19</v>
      </c>
      <c r="G47" s="10" t="s">
        <v>236</v>
      </c>
    </row>
    <row r="48" customFormat="false" ht="15" hidden="false" customHeight="true" outlineLevel="0" collapsed="false">
      <c r="A48" s="18" t="s">
        <v>69</v>
      </c>
      <c r="B48" s="17" t="n">
        <v>5</v>
      </c>
      <c r="C48" s="17" t="n">
        <v>25</v>
      </c>
      <c r="D48" s="17" t="n">
        <v>10</v>
      </c>
      <c r="E48" s="47" t="n">
        <v>3.02</v>
      </c>
      <c r="F48" s="47" t="n">
        <v>9.5</v>
      </c>
      <c r="G48" s="17" t="s">
        <v>236</v>
      </c>
    </row>
    <row r="49" customFormat="false" ht="15" hidden="false" customHeight="true" outlineLevel="0" collapsed="false">
      <c r="A49" s="18" t="s">
        <v>69</v>
      </c>
      <c r="B49" s="10" t="n">
        <v>5</v>
      </c>
      <c r="C49" s="10" t="n">
        <v>25</v>
      </c>
      <c r="D49" s="10" t="n">
        <v>5</v>
      </c>
      <c r="E49" s="46" t="n">
        <v>3</v>
      </c>
      <c r="F49" s="46" t="n">
        <v>4.8</v>
      </c>
      <c r="G49" s="10" t="s">
        <v>236</v>
      </c>
    </row>
    <row r="50" customFormat="false" ht="15" hidden="false" customHeight="true" outlineLevel="0" collapsed="false">
      <c r="A50" s="18" t="s">
        <v>69</v>
      </c>
      <c r="B50" s="17" t="n">
        <v>5</v>
      </c>
      <c r="C50" s="17" t="n">
        <v>25</v>
      </c>
      <c r="D50" s="17" t="n">
        <v>0</v>
      </c>
      <c r="E50" s="47" t="n">
        <v>3</v>
      </c>
      <c r="F50" s="47" t="n">
        <v>0</v>
      </c>
      <c r="G50" s="17" t="s">
        <v>236</v>
      </c>
    </row>
    <row r="51" customFormat="false" ht="15" hidden="false" customHeight="true" outlineLevel="0" collapsed="false">
      <c r="A51" s="19" t="s">
        <v>75</v>
      </c>
      <c r="B51" s="10" t="n">
        <v>0.5</v>
      </c>
      <c r="C51" s="10" t="n">
        <v>25</v>
      </c>
      <c r="D51" s="10" t="n">
        <v>100</v>
      </c>
      <c r="E51" s="46" t="n">
        <v>4.199</v>
      </c>
      <c r="F51" s="46" t="n">
        <v>99.6</v>
      </c>
      <c r="G51" s="10" t="s">
        <v>237</v>
      </c>
    </row>
    <row r="52" customFormat="false" ht="15" hidden="false" customHeight="true" outlineLevel="0" collapsed="false">
      <c r="A52" s="19" t="s">
        <v>75</v>
      </c>
      <c r="B52" s="17" t="n">
        <v>0.5</v>
      </c>
      <c r="C52" s="17" t="n">
        <v>25</v>
      </c>
      <c r="D52" s="17" t="n">
        <v>90</v>
      </c>
      <c r="E52" s="47" t="n">
        <v>4.078</v>
      </c>
      <c r="F52" s="47" t="n">
        <v>89.6</v>
      </c>
      <c r="G52" s="17" t="s">
        <v>237</v>
      </c>
    </row>
    <row r="53" customFormat="false" ht="15" hidden="false" customHeight="true" outlineLevel="0" collapsed="false">
      <c r="A53" s="19" t="s">
        <v>75</v>
      </c>
      <c r="B53" s="10" t="n">
        <v>0.5</v>
      </c>
      <c r="C53" s="10" t="n">
        <v>25</v>
      </c>
      <c r="D53" s="10" t="n">
        <v>80</v>
      </c>
      <c r="E53" s="46" t="n">
        <v>3.957</v>
      </c>
      <c r="F53" s="46" t="n">
        <v>79.7</v>
      </c>
      <c r="G53" s="10" t="s">
        <v>237</v>
      </c>
    </row>
    <row r="54" customFormat="false" ht="15" hidden="false" customHeight="true" outlineLevel="0" collapsed="false">
      <c r="A54" s="19" t="s">
        <v>75</v>
      </c>
      <c r="B54" s="17" t="n">
        <v>0.5</v>
      </c>
      <c r="C54" s="17" t="n">
        <v>25</v>
      </c>
      <c r="D54" s="17" t="n">
        <v>70</v>
      </c>
      <c r="E54" s="47" t="n">
        <v>3.836</v>
      </c>
      <c r="F54" s="47" t="n">
        <v>69.7</v>
      </c>
      <c r="G54" s="17" t="s">
        <v>237</v>
      </c>
    </row>
    <row r="55" customFormat="false" ht="15" hidden="false" customHeight="true" outlineLevel="0" collapsed="false">
      <c r="A55" s="19" t="s">
        <v>75</v>
      </c>
      <c r="B55" s="10" t="n">
        <v>0.5</v>
      </c>
      <c r="C55" s="10" t="n">
        <v>25</v>
      </c>
      <c r="D55" s="10" t="n">
        <v>60</v>
      </c>
      <c r="E55" s="46" t="n">
        <v>3.714</v>
      </c>
      <c r="F55" s="46" t="n">
        <v>59.8</v>
      </c>
      <c r="G55" s="10" t="s">
        <v>237</v>
      </c>
    </row>
    <row r="56" customFormat="false" ht="15" hidden="false" customHeight="true" outlineLevel="0" collapsed="false">
      <c r="A56" s="19" t="s">
        <v>75</v>
      </c>
      <c r="B56" s="17" t="n">
        <v>0.5</v>
      </c>
      <c r="C56" s="17" t="n">
        <v>25</v>
      </c>
      <c r="D56" s="17" t="n">
        <v>50</v>
      </c>
      <c r="E56" s="47" t="n">
        <v>3.593</v>
      </c>
      <c r="F56" s="47" t="n">
        <v>49.8</v>
      </c>
      <c r="G56" s="17" t="s">
        <v>237</v>
      </c>
    </row>
    <row r="57" customFormat="false" ht="15" hidden="false" customHeight="true" outlineLevel="0" collapsed="false">
      <c r="A57" s="19" t="s">
        <v>75</v>
      </c>
      <c r="B57" s="10" t="n">
        <v>0.5</v>
      </c>
      <c r="C57" s="10" t="n">
        <v>25</v>
      </c>
      <c r="D57" s="10" t="n">
        <v>40</v>
      </c>
      <c r="E57" s="46" t="n">
        <v>3.472</v>
      </c>
      <c r="F57" s="46" t="n">
        <v>39.8</v>
      </c>
      <c r="G57" s="10" t="s">
        <v>237</v>
      </c>
    </row>
    <row r="58" customFormat="false" ht="15" hidden="false" customHeight="true" outlineLevel="0" collapsed="false">
      <c r="A58" s="19" t="s">
        <v>75</v>
      </c>
      <c r="B58" s="17" t="n">
        <v>0.5</v>
      </c>
      <c r="C58" s="17" t="n">
        <v>25</v>
      </c>
      <c r="D58" s="17" t="n">
        <v>30</v>
      </c>
      <c r="E58" s="47" t="n">
        <v>3.351</v>
      </c>
      <c r="F58" s="47" t="n">
        <v>29.9</v>
      </c>
      <c r="G58" s="17" t="s">
        <v>237</v>
      </c>
    </row>
    <row r="59" customFormat="false" ht="15" hidden="false" customHeight="true" outlineLevel="0" collapsed="false">
      <c r="A59" s="19" t="s">
        <v>75</v>
      </c>
      <c r="B59" s="10" t="n">
        <v>0.5</v>
      </c>
      <c r="C59" s="10" t="n">
        <v>25</v>
      </c>
      <c r="D59" s="10" t="n">
        <v>20</v>
      </c>
      <c r="E59" s="46" t="n">
        <v>3.229</v>
      </c>
      <c r="F59" s="46" t="n">
        <v>19.9</v>
      </c>
      <c r="G59" s="10" t="s">
        <v>237</v>
      </c>
    </row>
    <row r="60" customFormat="false" ht="15" hidden="false" customHeight="true" outlineLevel="0" collapsed="false">
      <c r="A60" s="19" t="s">
        <v>75</v>
      </c>
      <c r="B60" s="17" t="n">
        <v>0.5</v>
      </c>
      <c r="C60" s="17" t="n">
        <v>25</v>
      </c>
      <c r="D60" s="17" t="n">
        <v>10</v>
      </c>
      <c r="E60" s="47" t="n">
        <v>3.108</v>
      </c>
      <c r="F60" s="47" t="n">
        <v>10</v>
      </c>
      <c r="G60" s="17" t="s">
        <v>237</v>
      </c>
    </row>
    <row r="61" customFormat="false" ht="15" hidden="false" customHeight="true" outlineLevel="0" collapsed="false">
      <c r="A61" s="19" t="s">
        <v>75</v>
      </c>
      <c r="B61" s="10" t="n">
        <v>0.5</v>
      </c>
      <c r="C61" s="10" t="n">
        <v>25</v>
      </c>
      <c r="D61" s="10" t="n">
        <v>5</v>
      </c>
      <c r="E61" s="46" t="n">
        <v>3.047</v>
      </c>
      <c r="F61" s="46" t="n">
        <v>5</v>
      </c>
      <c r="G61" s="10" t="s">
        <v>237</v>
      </c>
    </row>
    <row r="62" customFormat="false" ht="15" hidden="false" customHeight="true" outlineLevel="0" collapsed="false">
      <c r="A62" s="19" t="s">
        <v>75</v>
      </c>
      <c r="B62" s="17" t="n">
        <v>0.5</v>
      </c>
      <c r="C62" s="17" t="n">
        <v>25</v>
      </c>
      <c r="D62" s="17" t="n">
        <v>0</v>
      </c>
      <c r="E62" s="47" t="n">
        <v>2.987</v>
      </c>
      <c r="F62" s="47" t="n">
        <v>0</v>
      </c>
      <c r="G62" s="17" t="s">
        <v>237</v>
      </c>
    </row>
    <row r="63" customFormat="false" ht="15" hidden="false" customHeight="true" outlineLevel="0" collapsed="false">
      <c r="A63" s="19" t="s">
        <v>75</v>
      </c>
      <c r="B63" s="10" t="n">
        <v>1</v>
      </c>
      <c r="C63" s="10" t="n">
        <v>25</v>
      </c>
      <c r="D63" s="10" t="n">
        <v>100</v>
      </c>
      <c r="E63" s="46" t="n">
        <v>4.199</v>
      </c>
      <c r="F63" s="46" t="n">
        <v>99.2</v>
      </c>
      <c r="G63" s="10" t="s">
        <v>237</v>
      </c>
    </row>
    <row r="64" customFormat="false" ht="15" hidden="false" customHeight="true" outlineLevel="0" collapsed="false">
      <c r="A64" s="19" t="s">
        <v>75</v>
      </c>
      <c r="B64" s="17" t="n">
        <v>1</v>
      </c>
      <c r="C64" s="17" t="n">
        <v>25</v>
      </c>
      <c r="D64" s="17" t="n">
        <v>90</v>
      </c>
      <c r="E64" s="47" t="n">
        <v>4.076</v>
      </c>
      <c r="F64" s="47" t="n">
        <v>89.3</v>
      </c>
      <c r="G64" s="17" t="s">
        <v>237</v>
      </c>
    </row>
    <row r="65" customFormat="false" ht="15" hidden="false" customHeight="true" outlineLevel="0" collapsed="false">
      <c r="A65" s="19" t="s">
        <v>75</v>
      </c>
      <c r="B65" s="10" t="n">
        <v>1</v>
      </c>
      <c r="C65" s="10" t="n">
        <v>25</v>
      </c>
      <c r="D65" s="10" t="n">
        <v>80</v>
      </c>
      <c r="E65" s="46" t="n">
        <v>3.954</v>
      </c>
      <c r="F65" s="46" t="n">
        <v>79.4</v>
      </c>
      <c r="G65" s="10" t="s">
        <v>237</v>
      </c>
    </row>
    <row r="66" customFormat="false" ht="15" hidden="false" customHeight="true" outlineLevel="0" collapsed="false">
      <c r="A66" s="19" t="s">
        <v>75</v>
      </c>
      <c r="B66" s="17" t="n">
        <v>1</v>
      </c>
      <c r="C66" s="17" t="n">
        <v>25</v>
      </c>
      <c r="D66" s="17" t="n">
        <v>70</v>
      </c>
      <c r="E66" s="47" t="n">
        <v>3.831</v>
      </c>
      <c r="F66" s="47" t="n">
        <v>69.4</v>
      </c>
      <c r="G66" s="17" t="s">
        <v>237</v>
      </c>
    </row>
    <row r="67" customFormat="false" ht="15" hidden="false" customHeight="true" outlineLevel="0" collapsed="false">
      <c r="A67" s="19" t="s">
        <v>75</v>
      </c>
      <c r="B67" s="10" t="n">
        <v>1</v>
      </c>
      <c r="C67" s="10" t="n">
        <v>25</v>
      </c>
      <c r="D67" s="10" t="n">
        <v>60</v>
      </c>
      <c r="E67" s="46" t="n">
        <v>3.709</v>
      </c>
      <c r="F67" s="46" t="n">
        <v>59.5</v>
      </c>
      <c r="G67" s="10" t="s">
        <v>237</v>
      </c>
    </row>
    <row r="68" customFormat="false" ht="15" hidden="false" customHeight="true" outlineLevel="0" collapsed="false">
      <c r="A68" s="19" t="s">
        <v>75</v>
      </c>
      <c r="B68" s="17" t="n">
        <v>1</v>
      </c>
      <c r="C68" s="17" t="n">
        <v>25</v>
      </c>
      <c r="D68" s="17" t="n">
        <v>50</v>
      </c>
      <c r="E68" s="47" t="n">
        <v>3.586</v>
      </c>
      <c r="F68" s="47" t="n">
        <v>49.6</v>
      </c>
      <c r="G68" s="17" t="s">
        <v>237</v>
      </c>
    </row>
    <row r="69" customFormat="false" ht="15" hidden="false" customHeight="true" outlineLevel="0" collapsed="false">
      <c r="A69" s="19" t="s">
        <v>75</v>
      </c>
      <c r="B69" s="10" t="n">
        <v>1</v>
      </c>
      <c r="C69" s="10" t="n">
        <v>25</v>
      </c>
      <c r="D69" s="10" t="n">
        <v>40</v>
      </c>
      <c r="E69" s="46" t="n">
        <v>3.464</v>
      </c>
      <c r="F69" s="46" t="n">
        <v>39.7</v>
      </c>
      <c r="G69" s="10" t="s">
        <v>237</v>
      </c>
    </row>
    <row r="70" customFormat="false" ht="15" hidden="false" customHeight="true" outlineLevel="0" collapsed="false">
      <c r="A70" s="19" t="s">
        <v>75</v>
      </c>
      <c r="B70" s="17" t="n">
        <v>1</v>
      </c>
      <c r="C70" s="17" t="n">
        <v>25</v>
      </c>
      <c r="D70" s="17" t="n">
        <v>30</v>
      </c>
      <c r="E70" s="47" t="n">
        <v>3.341</v>
      </c>
      <c r="F70" s="47" t="n">
        <v>29.8</v>
      </c>
      <c r="G70" s="17" t="s">
        <v>237</v>
      </c>
    </row>
    <row r="71" customFormat="false" ht="15" hidden="false" customHeight="true" outlineLevel="0" collapsed="false">
      <c r="A71" s="19" t="s">
        <v>75</v>
      </c>
      <c r="B71" s="10" t="n">
        <v>1</v>
      </c>
      <c r="C71" s="10" t="n">
        <v>25</v>
      </c>
      <c r="D71" s="10" t="n">
        <v>20</v>
      </c>
      <c r="E71" s="46" t="n">
        <v>3.219</v>
      </c>
      <c r="F71" s="46" t="n">
        <v>19.8</v>
      </c>
      <c r="G71" s="10" t="s">
        <v>237</v>
      </c>
    </row>
    <row r="72" customFormat="false" ht="15" hidden="false" customHeight="true" outlineLevel="0" collapsed="false">
      <c r="A72" s="19" t="s">
        <v>75</v>
      </c>
      <c r="B72" s="17" t="n">
        <v>1</v>
      </c>
      <c r="C72" s="17" t="n">
        <v>25</v>
      </c>
      <c r="D72" s="17" t="n">
        <v>10</v>
      </c>
      <c r="E72" s="47" t="n">
        <v>3.096</v>
      </c>
      <c r="F72" s="47" t="n">
        <v>9.9</v>
      </c>
      <c r="G72" s="17" t="s">
        <v>237</v>
      </c>
    </row>
    <row r="73" customFormat="false" ht="15" hidden="false" customHeight="true" outlineLevel="0" collapsed="false">
      <c r="A73" s="19" t="s">
        <v>75</v>
      </c>
      <c r="B73" s="10" t="n">
        <v>1</v>
      </c>
      <c r="C73" s="10" t="n">
        <v>25</v>
      </c>
      <c r="D73" s="10" t="n">
        <v>5</v>
      </c>
      <c r="E73" s="46" t="n">
        <v>3.035</v>
      </c>
      <c r="F73" s="46" t="n">
        <v>5</v>
      </c>
      <c r="G73" s="10" t="s">
        <v>237</v>
      </c>
    </row>
    <row r="74" customFormat="false" ht="15" hidden="false" customHeight="true" outlineLevel="0" collapsed="false">
      <c r="A74" s="19" t="s">
        <v>75</v>
      </c>
      <c r="B74" s="17" t="n">
        <v>1</v>
      </c>
      <c r="C74" s="17" t="n">
        <v>25</v>
      </c>
      <c r="D74" s="17" t="n">
        <v>0</v>
      </c>
      <c r="E74" s="47" t="n">
        <v>2.974</v>
      </c>
      <c r="F74" s="47" t="n">
        <v>0</v>
      </c>
      <c r="G74" s="17" t="s">
        <v>237</v>
      </c>
    </row>
    <row r="75" customFormat="false" ht="15" hidden="false" customHeight="true" outlineLevel="0" collapsed="false">
      <c r="A75" s="19" t="s">
        <v>75</v>
      </c>
      <c r="B75" s="10" t="n">
        <v>2</v>
      </c>
      <c r="C75" s="10" t="n">
        <v>25</v>
      </c>
      <c r="D75" s="10" t="n">
        <v>100</v>
      </c>
      <c r="E75" s="46" t="n">
        <v>4.197</v>
      </c>
      <c r="F75" s="46" t="n">
        <v>98.4</v>
      </c>
      <c r="G75" s="10" t="s">
        <v>237</v>
      </c>
    </row>
    <row r="76" customFormat="false" ht="15" hidden="false" customHeight="true" outlineLevel="0" collapsed="false">
      <c r="A76" s="19" t="s">
        <v>75</v>
      </c>
      <c r="B76" s="17" t="n">
        <v>2</v>
      </c>
      <c r="C76" s="17" t="n">
        <v>25</v>
      </c>
      <c r="D76" s="17" t="n">
        <v>90</v>
      </c>
      <c r="E76" s="47" t="n">
        <v>4.072</v>
      </c>
      <c r="F76" s="47" t="n">
        <v>88.6</v>
      </c>
      <c r="G76" s="17" t="s">
        <v>237</v>
      </c>
    </row>
    <row r="77" customFormat="false" ht="15" hidden="false" customHeight="true" outlineLevel="0" collapsed="false">
      <c r="A77" s="19" t="s">
        <v>75</v>
      </c>
      <c r="B77" s="10" t="n">
        <v>2</v>
      </c>
      <c r="C77" s="10" t="n">
        <v>25</v>
      </c>
      <c r="D77" s="10" t="n">
        <v>80</v>
      </c>
      <c r="E77" s="46" t="n">
        <v>3.947</v>
      </c>
      <c r="F77" s="46" t="n">
        <v>78.7</v>
      </c>
      <c r="G77" s="10" t="s">
        <v>237</v>
      </c>
    </row>
    <row r="78" customFormat="false" ht="15" hidden="false" customHeight="true" outlineLevel="0" collapsed="false">
      <c r="A78" s="19" t="s">
        <v>75</v>
      </c>
      <c r="B78" s="17" t="n">
        <v>2</v>
      </c>
      <c r="C78" s="17" t="n">
        <v>25</v>
      </c>
      <c r="D78" s="17" t="n">
        <v>70</v>
      </c>
      <c r="E78" s="47" t="n">
        <v>3.822</v>
      </c>
      <c r="F78" s="47" t="n">
        <v>68.9</v>
      </c>
      <c r="G78" s="17" t="s">
        <v>237</v>
      </c>
    </row>
    <row r="79" customFormat="false" ht="15" hidden="false" customHeight="true" outlineLevel="0" collapsed="false">
      <c r="A79" s="19" t="s">
        <v>75</v>
      </c>
      <c r="B79" s="10" t="n">
        <v>2</v>
      </c>
      <c r="C79" s="10" t="n">
        <v>25</v>
      </c>
      <c r="D79" s="10" t="n">
        <v>60</v>
      </c>
      <c r="E79" s="46" t="n">
        <v>3.698</v>
      </c>
      <c r="F79" s="46" t="n">
        <v>59</v>
      </c>
      <c r="G79" s="10" t="s">
        <v>237</v>
      </c>
    </row>
    <row r="80" customFormat="false" ht="15" hidden="false" customHeight="true" outlineLevel="0" collapsed="false">
      <c r="A80" s="19" t="s">
        <v>75</v>
      </c>
      <c r="B80" s="17" t="n">
        <v>2</v>
      </c>
      <c r="C80" s="17" t="n">
        <v>25</v>
      </c>
      <c r="D80" s="17" t="n">
        <v>50</v>
      </c>
      <c r="E80" s="47" t="n">
        <v>3.573</v>
      </c>
      <c r="F80" s="47" t="n">
        <v>49.2</v>
      </c>
      <c r="G80" s="17" t="s">
        <v>237</v>
      </c>
    </row>
    <row r="81" customFormat="false" ht="15" hidden="false" customHeight="true" outlineLevel="0" collapsed="false">
      <c r="A81" s="19" t="s">
        <v>75</v>
      </c>
      <c r="B81" s="10" t="n">
        <v>2</v>
      </c>
      <c r="C81" s="10" t="n">
        <v>25</v>
      </c>
      <c r="D81" s="10" t="n">
        <v>40</v>
      </c>
      <c r="E81" s="46" t="n">
        <v>3.447</v>
      </c>
      <c r="F81" s="46" t="n">
        <v>39.4</v>
      </c>
      <c r="G81" s="10" t="s">
        <v>237</v>
      </c>
    </row>
    <row r="82" customFormat="false" ht="15" hidden="false" customHeight="true" outlineLevel="0" collapsed="false">
      <c r="A82" s="19" t="s">
        <v>75</v>
      </c>
      <c r="B82" s="17" t="n">
        <v>2</v>
      </c>
      <c r="C82" s="17" t="n">
        <v>25</v>
      </c>
      <c r="D82" s="17" t="n">
        <v>30</v>
      </c>
      <c r="E82" s="47" t="n">
        <v>3.322</v>
      </c>
      <c r="F82" s="47" t="n">
        <v>29.5</v>
      </c>
      <c r="G82" s="17" t="s">
        <v>237</v>
      </c>
    </row>
    <row r="83" customFormat="false" ht="15" hidden="false" customHeight="true" outlineLevel="0" collapsed="false">
      <c r="A83" s="19" t="s">
        <v>75</v>
      </c>
      <c r="B83" s="10" t="n">
        <v>2</v>
      </c>
      <c r="C83" s="10" t="n">
        <v>25</v>
      </c>
      <c r="D83" s="10" t="n">
        <v>20</v>
      </c>
      <c r="E83" s="46" t="n">
        <v>3.198</v>
      </c>
      <c r="F83" s="46" t="n">
        <v>19.7</v>
      </c>
      <c r="G83" s="10" t="s">
        <v>237</v>
      </c>
    </row>
    <row r="84" customFormat="false" ht="15" hidden="false" customHeight="true" outlineLevel="0" collapsed="false">
      <c r="A84" s="19" t="s">
        <v>75</v>
      </c>
      <c r="B84" s="17" t="n">
        <v>2</v>
      </c>
      <c r="C84" s="17" t="n">
        <v>25</v>
      </c>
      <c r="D84" s="17" t="n">
        <v>10</v>
      </c>
      <c r="E84" s="47" t="n">
        <v>3.073</v>
      </c>
      <c r="F84" s="47" t="n">
        <v>9.8</v>
      </c>
      <c r="G84" s="17" t="s">
        <v>237</v>
      </c>
    </row>
    <row r="85" customFormat="false" ht="15" hidden="false" customHeight="true" outlineLevel="0" collapsed="false">
      <c r="A85" s="19" t="s">
        <v>75</v>
      </c>
      <c r="B85" s="10" t="n">
        <v>2</v>
      </c>
      <c r="C85" s="10" t="n">
        <v>25</v>
      </c>
      <c r="D85" s="10" t="n">
        <v>5</v>
      </c>
      <c r="E85" s="46" t="n">
        <v>3.01</v>
      </c>
      <c r="F85" s="46" t="n">
        <v>4.9</v>
      </c>
      <c r="G85" s="10" t="s">
        <v>237</v>
      </c>
    </row>
    <row r="86" customFormat="false" ht="15" hidden="false" customHeight="true" outlineLevel="0" collapsed="false">
      <c r="A86" s="19" t="s">
        <v>75</v>
      </c>
      <c r="B86" s="17" t="n">
        <v>2</v>
      </c>
      <c r="C86" s="17" t="n">
        <v>25</v>
      </c>
      <c r="D86" s="17" t="n">
        <v>0</v>
      </c>
      <c r="E86" s="47" t="n">
        <v>2.947</v>
      </c>
      <c r="F86" s="47" t="n">
        <v>0</v>
      </c>
      <c r="G86" s="17" t="s">
        <v>237</v>
      </c>
    </row>
    <row r="87" customFormat="false" ht="15" hidden="false" customHeight="true" outlineLevel="0" collapsed="false">
      <c r="A87" s="19" t="s">
        <v>75</v>
      </c>
      <c r="B87" s="10" t="n">
        <v>5</v>
      </c>
      <c r="C87" s="10" t="n">
        <v>25</v>
      </c>
      <c r="D87" s="10" t="n">
        <v>100</v>
      </c>
      <c r="E87" s="46" t="n">
        <v>4.194</v>
      </c>
      <c r="F87" s="46" t="n">
        <v>96</v>
      </c>
      <c r="G87" s="10" t="s">
        <v>237</v>
      </c>
    </row>
    <row r="88" customFormat="false" ht="15" hidden="false" customHeight="true" outlineLevel="0" collapsed="false">
      <c r="A88" s="19" t="s">
        <v>75</v>
      </c>
      <c r="B88" s="17" t="n">
        <v>5</v>
      </c>
      <c r="C88" s="17" t="n">
        <v>25</v>
      </c>
      <c r="D88" s="17" t="n">
        <v>90</v>
      </c>
      <c r="E88" s="47" t="n">
        <v>4.061</v>
      </c>
      <c r="F88" s="47" t="n">
        <v>86.4</v>
      </c>
      <c r="G88" s="17" t="s">
        <v>237</v>
      </c>
    </row>
    <row r="89" customFormat="false" ht="15" hidden="false" customHeight="true" outlineLevel="0" collapsed="false">
      <c r="A89" s="19" t="s">
        <v>75</v>
      </c>
      <c r="B89" s="10" t="n">
        <v>5</v>
      </c>
      <c r="C89" s="10" t="n">
        <v>25</v>
      </c>
      <c r="D89" s="10" t="n">
        <v>80</v>
      </c>
      <c r="E89" s="46" t="n">
        <v>3.929</v>
      </c>
      <c r="F89" s="46" t="n">
        <v>76.8</v>
      </c>
      <c r="G89" s="10" t="s">
        <v>237</v>
      </c>
    </row>
    <row r="90" customFormat="false" ht="15" hidden="false" customHeight="true" outlineLevel="0" collapsed="false">
      <c r="A90" s="19" t="s">
        <v>75</v>
      </c>
      <c r="B90" s="17" t="n">
        <v>5</v>
      </c>
      <c r="C90" s="17" t="n">
        <v>25</v>
      </c>
      <c r="D90" s="17" t="n">
        <v>70</v>
      </c>
      <c r="E90" s="47" t="n">
        <v>3.796</v>
      </c>
      <c r="F90" s="47" t="n">
        <v>67.2</v>
      </c>
      <c r="G90" s="17" t="s">
        <v>237</v>
      </c>
    </row>
    <row r="91" customFormat="false" ht="15" hidden="false" customHeight="true" outlineLevel="0" collapsed="false">
      <c r="A91" s="19" t="s">
        <v>75</v>
      </c>
      <c r="B91" s="10" t="n">
        <v>5</v>
      </c>
      <c r="C91" s="10" t="n">
        <v>25</v>
      </c>
      <c r="D91" s="10" t="n">
        <v>60</v>
      </c>
      <c r="E91" s="46" t="n">
        <v>3.664</v>
      </c>
      <c r="F91" s="46" t="n">
        <v>57.6</v>
      </c>
      <c r="G91" s="10" t="s">
        <v>237</v>
      </c>
    </row>
    <row r="92" customFormat="false" ht="15" hidden="false" customHeight="true" outlineLevel="0" collapsed="false">
      <c r="A92" s="19" t="s">
        <v>75</v>
      </c>
      <c r="B92" s="17" t="n">
        <v>5</v>
      </c>
      <c r="C92" s="17" t="n">
        <v>25</v>
      </c>
      <c r="D92" s="17" t="n">
        <v>50</v>
      </c>
      <c r="E92" s="47" t="n">
        <v>3.531</v>
      </c>
      <c r="F92" s="47" t="n">
        <v>48</v>
      </c>
      <c r="G92" s="17" t="s">
        <v>237</v>
      </c>
    </row>
    <row r="93" customFormat="false" ht="15" hidden="false" customHeight="true" outlineLevel="0" collapsed="false">
      <c r="A93" s="19" t="s">
        <v>75</v>
      </c>
      <c r="B93" s="10" t="n">
        <v>5</v>
      </c>
      <c r="C93" s="10" t="n">
        <v>25</v>
      </c>
      <c r="D93" s="10" t="n">
        <v>40</v>
      </c>
      <c r="E93" s="46" t="n">
        <v>3.399</v>
      </c>
      <c r="F93" s="46" t="n">
        <v>38.4</v>
      </c>
      <c r="G93" s="10" t="s">
        <v>237</v>
      </c>
    </row>
    <row r="94" customFormat="false" ht="15" hidden="false" customHeight="true" outlineLevel="0" collapsed="false">
      <c r="A94" s="19" t="s">
        <v>75</v>
      </c>
      <c r="B94" s="17" t="n">
        <v>5</v>
      </c>
      <c r="C94" s="17" t="n">
        <v>25</v>
      </c>
      <c r="D94" s="17" t="n">
        <v>30</v>
      </c>
      <c r="E94" s="47" t="n">
        <v>3.266</v>
      </c>
      <c r="F94" s="47" t="n">
        <v>28.8</v>
      </c>
      <c r="G94" s="17" t="s">
        <v>237</v>
      </c>
    </row>
    <row r="95" customFormat="false" ht="15" hidden="false" customHeight="true" outlineLevel="0" collapsed="false">
      <c r="A95" s="19" t="s">
        <v>75</v>
      </c>
      <c r="B95" s="10" t="n">
        <v>5</v>
      </c>
      <c r="C95" s="10" t="n">
        <v>25</v>
      </c>
      <c r="D95" s="10" t="n">
        <v>20</v>
      </c>
      <c r="E95" s="46" t="n">
        <v>3.134</v>
      </c>
      <c r="F95" s="46" t="n">
        <v>19.2</v>
      </c>
      <c r="G95" s="10" t="s">
        <v>237</v>
      </c>
    </row>
    <row r="96" customFormat="false" ht="15" hidden="false" customHeight="true" outlineLevel="0" collapsed="false">
      <c r="A96" s="19" t="s">
        <v>75</v>
      </c>
      <c r="B96" s="17" t="n">
        <v>5</v>
      </c>
      <c r="C96" s="17" t="n">
        <v>25</v>
      </c>
      <c r="D96" s="17" t="n">
        <v>10</v>
      </c>
      <c r="E96" s="47" t="n">
        <v>3.001</v>
      </c>
      <c r="F96" s="47" t="n">
        <v>9.6</v>
      </c>
      <c r="G96" s="17" t="s">
        <v>237</v>
      </c>
    </row>
    <row r="97" customFormat="false" ht="15" hidden="false" customHeight="true" outlineLevel="0" collapsed="false">
      <c r="A97" s="19" t="s">
        <v>75</v>
      </c>
      <c r="B97" s="10" t="n">
        <v>5</v>
      </c>
      <c r="C97" s="10" t="n">
        <v>25</v>
      </c>
      <c r="D97" s="10" t="n">
        <v>5</v>
      </c>
      <c r="E97" s="46" t="n">
        <v>2.935</v>
      </c>
      <c r="F97" s="46" t="n">
        <v>4.8</v>
      </c>
      <c r="G97" s="10" t="s">
        <v>237</v>
      </c>
    </row>
    <row r="98" customFormat="false" ht="15" hidden="false" customHeight="true" outlineLevel="0" collapsed="false">
      <c r="A98" s="19" t="s">
        <v>75</v>
      </c>
      <c r="B98" s="17" t="n">
        <v>5</v>
      </c>
      <c r="C98" s="17" t="n">
        <v>25</v>
      </c>
      <c r="D98" s="17" t="n">
        <v>0</v>
      </c>
      <c r="E98" s="47" t="n">
        <v>2.869</v>
      </c>
      <c r="F98" s="47" t="n">
        <v>0</v>
      </c>
      <c r="G98" s="17" t="s">
        <v>237</v>
      </c>
    </row>
    <row r="99" customFormat="false" ht="15" hidden="false" customHeight="true" outlineLevel="0" collapsed="false">
      <c r="A99" s="16" t="s">
        <v>82</v>
      </c>
      <c r="B99" s="10" t="n">
        <v>0.5</v>
      </c>
      <c r="C99" s="10" t="n">
        <v>25</v>
      </c>
      <c r="D99" s="10" t="n">
        <v>100</v>
      </c>
      <c r="E99" s="46" t="n">
        <v>3.593</v>
      </c>
      <c r="F99" s="46" t="n">
        <v>99.8</v>
      </c>
      <c r="G99" s="10" t="s">
        <v>238</v>
      </c>
    </row>
    <row r="100" customFormat="false" ht="15" hidden="false" customHeight="true" outlineLevel="0" collapsed="false">
      <c r="A100" s="16" t="s">
        <v>82</v>
      </c>
      <c r="B100" s="17" t="n">
        <v>0.5</v>
      </c>
      <c r="C100" s="17" t="n">
        <v>25</v>
      </c>
      <c r="D100" s="17" t="n">
        <v>90</v>
      </c>
      <c r="E100" s="47" t="n">
        <v>3.426</v>
      </c>
      <c r="F100" s="47" t="n">
        <v>89.8</v>
      </c>
      <c r="G100" s="17" t="s">
        <v>238</v>
      </c>
    </row>
    <row r="101" customFormat="false" ht="15" hidden="false" customHeight="true" outlineLevel="0" collapsed="false">
      <c r="A101" s="16" t="s">
        <v>82</v>
      </c>
      <c r="B101" s="10" t="n">
        <v>0.5</v>
      </c>
      <c r="C101" s="10" t="n">
        <v>25</v>
      </c>
      <c r="D101" s="10" t="n">
        <v>80</v>
      </c>
      <c r="E101" s="46" t="n">
        <v>3.331</v>
      </c>
      <c r="F101" s="46" t="n">
        <v>79.8</v>
      </c>
      <c r="G101" s="10" t="s">
        <v>238</v>
      </c>
    </row>
    <row r="102" customFormat="false" ht="15" hidden="false" customHeight="true" outlineLevel="0" collapsed="false">
      <c r="A102" s="16" t="s">
        <v>82</v>
      </c>
      <c r="B102" s="17" t="n">
        <v>0.5</v>
      </c>
      <c r="C102" s="17" t="n">
        <v>25</v>
      </c>
      <c r="D102" s="17" t="n">
        <v>70</v>
      </c>
      <c r="E102" s="47" t="n">
        <v>3.308</v>
      </c>
      <c r="F102" s="47" t="n">
        <v>69.8</v>
      </c>
      <c r="G102" s="17" t="s">
        <v>238</v>
      </c>
    </row>
    <row r="103" customFormat="false" ht="15" hidden="false" customHeight="true" outlineLevel="0" collapsed="false">
      <c r="A103" s="16" t="s">
        <v>82</v>
      </c>
      <c r="B103" s="10" t="n">
        <v>0.5</v>
      </c>
      <c r="C103" s="10" t="n">
        <v>25</v>
      </c>
      <c r="D103" s="10" t="n">
        <v>60</v>
      </c>
      <c r="E103" s="46" t="n">
        <v>3.285</v>
      </c>
      <c r="F103" s="46" t="n">
        <v>59.9</v>
      </c>
      <c r="G103" s="10" t="s">
        <v>238</v>
      </c>
    </row>
    <row r="104" customFormat="false" ht="15" hidden="false" customHeight="true" outlineLevel="0" collapsed="false">
      <c r="A104" s="16" t="s">
        <v>82</v>
      </c>
      <c r="B104" s="17" t="n">
        <v>0.5</v>
      </c>
      <c r="C104" s="17" t="n">
        <v>25</v>
      </c>
      <c r="D104" s="17" t="n">
        <v>50</v>
      </c>
      <c r="E104" s="47" t="n">
        <v>3.262</v>
      </c>
      <c r="F104" s="47" t="n">
        <v>49.9</v>
      </c>
      <c r="G104" s="17" t="s">
        <v>238</v>
      </c>
    </row>
    <row r="105" customFormat="false" ht="15" hidden="false" customHeight="true" outlineLevel="0" collapsed="false">
      <c r="A105" s="16" t="s">
        <v>82</v>
      </c>
      <c r="B105" s="10" t="n">
        <v>0.5</v>
      </c>
      <c r="C105" s="10" t="n">
        <v>25</v>
      </c>
      <c r="D105" s="10" t="n">
        <v>40</v>
      </c>
      <c r="E105" s="46" t="n">
        <v>3.239</v>
      </c>
      <c r="F105" s="46" t="n">
        <v>39.9</v>
      </c>
      <c r="G105" s="10" t="s">
        <v>238</v>
      </c>
    </row>
    <row r="106" customFormat="false" ht="15" hidden="false" customHeight="true" outlineLevel="0" collapsed="false">
      <c r="A106" s="16" t="s">
        <v>82</v>
      </c>
      <c r="B106" s="17" t="n">
        <v>0.5</v>
      </c>
      <c r="C106" s="17" t="n">
        <v>25</v>
      </c>
      <c r="D106" s="17" t="n">
        <v>30</v>
      </c>
      <c r="E106" s="47" t="n">
        <v>3.216</v>
      </c>
      <c r="F106" s="47" t="n">
        <v>29.9</v>
      </c>
      <c r="G106" s="17" t="s">
        <v>238</v>
      </c>
    </row>
    <row r="107" customFormat="false" ht="15" hidden="false" customHeight="true" outlineLevel="0" collapsed="false">
      <c r="A107" s="16" t="s">
        <v>82</v>
      </c>
      <c r="B107" s="10" t="n">
        <v>0.5</v>
      </c>
      <c r="C107" s="10" t="n">
        <v>25</v>
      </c>
      <c r="D107" s="10" t="n">
        <v>20</v>
      </c>
      <c r="E107" s="46" t="n">
        <v>3.193</v>
      </c>
      <c r="F107" s="46" t="n">
        <v>20</v>
      </c>
      <c r="G107" s="10" t="s">
        <v>238</v>
      </c>
    </row>
    <row r="108" customFormat="false" ht="15" hidden="false" customHeight="true" outlineLevel="0" collapsed="false">
      <c r="A108" s="16" t="s">
        <v>82</v>
      </c>
      <c r="B108" s="17" t="n">
        <v>0.5</v>
      </c>
      <c r="C108" s="17" t="n">
        <v>25</v>
      </c>
      <c r="D108" s="17" t="n">
        <v>10</v>
      </c>
      <c r="E108" s="47" t="n">
        <v>2.843</v>
      </c>
      <c r="F108" s="47" t="n">
        <v>10</v>
      </c>
      <c r="G108" s="17" t="s">
        <v>238</v>
      </c>
    </row>
    <row r="109" customFormat="false" ht="15" hidden="false" customHeight="true" outlineLevel="0" collapsed="false">
      <c r="A109" s="16" t="s">
        <v>82</v>
      </c>
      <c r="B109" s="10" t="n">
        <v>0.5</v>
      </c>
      <c r="C109" s="10" t="n">
        <v>25</v>
      </c>
      <c r="D109" s="10" t="n">
        <v>5</v>
      </c>
      <c r="E109" s="46" t="n">
        <v>2.667</v>
      </c>
      <c r="F109" s="46" t="n">
        <v>5</v>
      </c>
      <c r="G109" s="10" t="s">
        <v>238</v>
      </c>
    </row>
    <row r="110" customFormat="false" ht="15" hidden="false" customHeight="true" outlineLevel="0" collapsed="false">
      <c r="A110" s="16" t="s">
        <v>82</v>
      </c>
      <c r="B110" s="17" t="n">
        <v>0.5</v>
      </c>
      <c r="C110" s="17" t="n">
        <v>25</v>
      </c>
      <c r="D110" s="17" t="n">
        <v>0</v>
      </c>
      <c r="E110" s="47" t="n">
        <v>2.5</v>
      </c>
      <c r="F110" s="47" t="n">
        <v>0</v>
      </c>
      <c r="G110" s="17" t="s">
        <v>238</v>
      </c>
    </row>
    <row r="111" customFormat="false" ht="15" hidden="false" customHeight="true" outlineLevel="0" collapsed="false">
      <c r="A111" s="16" t="s">
        <v>82</v>
      </c>
      <c r="B111" s="10" t="n">
        <v>1</v>
      </c>
      <c r="C111" s="10" t="n">
        <v>25</v>
      </c>
      <c r="D111" s="10" t="n">
        <v>100</v>
      </c>
      <c r="E111" s="46" t="n">
        <v>3.585</v>
      </c>
      <c r="F111" s="46" t="n">
        <v>99.5</v>
      </c>
      <c r="G111" s="10" t="s">
        <v>238</v>
      </c>
    </row>
    <row r="112" customFormat="false" ht="15" hidden="false" customHeight="true" outlineLevel="0" collapsed="false">
      <c r="A112" s="16" t="s">
        <v>82</v>
      </c>
      <c r="B112" s="17" t="n">
        <v>1</v>
      </c>
      <c r="C112" s="17" t="n">
        <v>25</v>
      </c>
      <c r="D112" s="17" t="n">
        <v>90</v>
      </c>
      <c r="E112" s="47" t="n">
        <v>3.418</v>
      </c>
      <c r="F112" s="47" t="n">
        <v>89.5</v>
      </c>
      <c r="G112" s="17" t="s">
        <v>238</v>
      </c>
    </row>
    <row r="113" customFormat="false" ht="15" hidden="false" customHeight="true" outlineLevel="0" collapsed="false">
      <c r="A113" s="16" t="s">
        <v>82</v>
      </c>
      <c r="B113" s="10" t="n">
        <v>1</v>
      </c>
      <c r="C113" s="10" t="n">
        <v>25</v>
      </c>
      <c r="D113" s="10" t="n">
        <v>80</v>
      </c>
      <c r="E113" s="46" t="n">
        <v>3.323</v>
      </c>
      <c r="F113" s="46" t="n">
        <v>79.6</v>
      </c>
      <c r="G113" s="10" t="s">
        <v>238</v>
      </c>
    </row>
    <row r="114" customFormat="false" ht="15" hidden="false" customHeight="true" outlineLevel="0" collapsed="false">
      <c r="A114" s="16" t="s">
        <v>82</v>
      </c>
      <c r="B114" s="17" t="n">
        <v>1</v>
      </c>
      <c r="C114" s="17" t="n">
        <v>25</v>
      </c>
      <c r="D114" s="17" t="n">
        <v>70</v>
      </c>
      <c r="E114" s="47" t="n">
        <v>3.3</v>
      </c>
      <c r="F114" s="47" t="n">
        <v>69.7</v>
      </c>
      <c r="G114" s="17" t="s">
        <v>238</v>
      </c>
    </row>
    <row r="115" customFormat="false" ht="15" hidden="false" customHeight="true" outlineLevel="0" collapsed="false">
      <c r="A115" s="16" t="s">
        <v>82</v>
      </c>
      <c r="B115" s="10" t="n">
        <v>1</v>
      </c>
      <c r="C115" s="10" t="n">
        <v>25</v>
      </c>
      <c r="D115" s="10" t="n">
        <v>60</v>
      </c>
      <c r="E115" s="46" t="n">
        <v>3.277</v>
      </c>
      <c r="F115" s="46" t="n">
        <v>59.7</v>
      </c>
      <c r="G115" s="10" t="s">
        <v>238</v>
      </c>
    </row>
    <row r="116" customFormat="false" ht="15" hidden="false" customHeight="true" outlineLevel="0" collapsed="false">
      <c r="A116" s="16" t="s">
        <v>82</v>
      </c>
      <c r="B116" s="17" t="n">
        <v>1</v>
      </c>
      <c r="C116" s="17" t="n">
        <v>25</v>
      </c>
      <c r="D116" s="17" t="n">
        <v>50</v>
      </c>
      <c r="E116" s="47" t="n">
        <v>3.254</v>
      </c>
      <c r="F116" s="47" t="n">
        <v>49.8</v>
      </c>
      <c r="G116" s="17" t="s">
        <v>238</v>
      </c>
    </row>
    <row r="117" customFormat="false" ht="15" hidden="false" customHeight="true" outlineLevel="0" collapsed="false">
      <c r="A117" s="16" t="s">
        <v>82</v>
      </c>
      <c r="B117" s="10" t="n">
        <v>1</v>
      </c>
      <c r="C117" s="10" t="n">
        <v>25</v>
      </c>
      <c r="D117" s="10" t="n">
        <v>40</v>
      </c>
      <c r="E117" s="46" t="n">
        <v>3.231</v>
      </c>
      <c r="F117" s="46" t="n">
        <v>39.8</v>
      </c>
      <c r="G117" s="10" t="s">
        <v>238</v>
      </c>
    </row>
    <row r="118" customFormat="false" ht="15" hidden="false" customHeight="true" outlineLevel="0" collapsed="false">
      <c r="A118" s="16" t="s">
        <v>82</v>
      </c>
      <c r="B118" s="17" t="n">
        <v>1</v>
      </c>
      <c r="C118" s="17" t="n">
        <v>25</v>
      </c>
      <c r="D118" s="17" t="n">
        <v>30</v>
      </c>
      <c r="E118" s="47" t="n">
        <v>3.208</v>
      </c>
      <c r="F118" s="47" t="n">
        <v>29.9</v>
      </c>
      <c r="G118" s="17" t="s">
        <v>238</v>
      </c>
    </row>
    <row r="119" customFormat="false" ht="15" hidden="false" customHeight="true" outlineLevel="0" collapsed="false">
      <c r="A119" s="16" t="s">
        <v>82</v>
      </c>
      <c r="B119" s="10" t="n">
        <v>1</v>
      </c>
      <c r="C119" s="10" t="n">
        <v>25</v>
      </c>
      <c r="D119" s="10" t="n">
        <v>20</v>
      </c>
      <c r="E119" s="46" t="n">
        <v>3.185</v>
      </c>
      <c r="F119" s="46" t="n">
        <v>19.9</v>
      </c>
      <c r="G119" s="10" t="s">
        <v>238</v>
      </c>
    </row>
    <row r="120" customFormat="false" ht="15" hidden="false" customHeight="true" outlineLevel="0" collapsed="false">
      <c r="A120" s="16" t="s">
        <v>82</v>
      </c>
      <c r="B120" s="17" t="n">
        <v>1</v>
      </c>
      <c r="C120" s="17" t="n">
        <v>25</v>
      </c>
      <c r="D120" s="17" t="n">
        <v>10</v>
      </c>
      <c r="E120" s="47" t="n">
        <v>2.835</v>
      </c>
      <c r="F120" s="47" t="n">
        <v>9.9</v>
      </c>
      <c r="G120" s="17" t="s">
        <v>238</v>
      </c>
    </row>
    <row r="121" customFormat="false" ht="15" hidden="false" customHeight="true" outlineLevel="0" collapsed="false">
      <c r="A121" s="16" t="s">
        <v>82</v>
      </c>
      <c r="B121" s="10" t="n">
        <v>1</v>
      </c>
      <c r="C121" s="10" t="n">
        <v>25</v>
      </c>
      <c r="D121" s="10" t="n">
        <v>5</v>
      </c>
      <c r="E121" s="46" t="n">
        <v>2.66</v>
      </c>
      <c r="F121" s="46" t="n">
        <v>5</v>
      </c>
      <c r="G121" s="10" t="s">
        <v>238</v>
      </c>
    </row>
    <row r="122" customFormat="false" ht="15" hidden="false" customHeight="true" outlineLevel="0" collapsed="false">
      <c r="A122" s="16" t="s">
        <v>82</v>
      </c>
      <c r="B122" s="17" t="n">
        <v>1</v>
      </c>
      <c r="C122" s="17" t="n">
        <v>25</v>
      </c>
      <c r="D122" s="17" t="n">
        <v>0</v>
      </c>
      <c r="E122" s="47" t="n">
        <v>2.5</v>
      </c>
      <c r="F122" s="47" t="n">
        <v>0</v>
      </c>
      <c r="G122" s="17" t="s">
        <v>238</v>
      </c>
    </row>
    <row r="123" customFormat="false" ht="15" hidden="false" customHeight="true" outlineLevel="0" collapsed="false">
      <c r="A123" s="16" t="s">
        <v>82</v>
      </c>
      <c r="B123" s="10" t="n">
        <v>2</v>
      </c>
      <c r="C123" s="10" t="n">
        <v>25</v>
      </c>
      <c r="D123" s="10" t="n">
        <v>100</v>
      </c>
      <c r="E123" s="46" t="n">
        <v>3.57</v>
      </c>
      <c r="F123" s="46" t="n">
        <v>99</v>
      </c>
      <c r="G123" s="10" t="s">
        <v>238</v>
      </c>
    </row>
    <row r="124" customFormat="false" ht="15" hidden="false" customHeight="true" outlineLevel="0" collapsed="false">
      <c r="A124" s="16" t="s">
        <v>82</v>
      </c>
      <c r="B124" s="17" t="n">
        <v>2</v>
      </c>
      <c r="C124" s="17" t="n">
        <v>25</v>
      </c>
      <c r="D124" s="17" t="n">
        <v>90</v>
      </c>
      <c r="E124" s="47" t="n">
        <v>3.403</v>
      </c>
      <c r="F124" s="47" t="n">
        <v>89.1</v>
      </c>
      <c r="G124" s="17" t="s">
        <v>238</v>
      </c>
    </row>
    <row r="125" customFormat="false" ht="15" hidden="false" customHeight="true" outlineLevel="0" collapsed="false">
      <c r="A125" s="16" t="s">
        <v>82</v>
      </c>
      <c r="B125" s="10" t="n">
        <v>2</v>
      </c>
      <c r="C125" s="10" t="n">
        <v>25</v>
      </c>
      <c r="D125" s="10" t="n">
        <v>80</v>
      </c>
      <c r="E125" s="46" t="n">
        <v>3.308</v>
      </c>
      <c r="F125" s="46" t="n">
        <v>79.2</v>
      </c>
      <c r="G125" s="10" t="s">
        <v>238</v>
      </c>
    </row>
    <row r="126" customFormat="false" ht="15" hidden="false" customHeight="true" outlineLevel="0" collapsed="false">
      <c r="A126" s="16" t="s">
        <v>82</v>
      </c>
      <c r="B126" s="17" t="n">
        <v>2</v>
      </c>
      <c r="C126" s="17" t="n">
        <v>25</v>
      </c>
      <c r="D126" s="17" t="n">
        <v>70</v>
      </c>
      <c r="E126" s="47" t="n">
        <v>3.285</v>
      </c>
      <c r="F126" s="47" t="n">
        <v>69.3</v>
      </c>
      <c r="G126" s="17" t="s">
        <v>238</v>
      </c>
    </row>
    <row r="127" customFormat="false" ht="15" hidden="false" customHeight="true" outlineLevel="0" collapsed="false">
      <c r="A127" s="16" t="s">
        <v>82</v>
      </c>
      <c r="B127" s="10" t="n">
        <v>2</v>
      </c>
      <c r="C127" s="10" t="n">
        <v>25</v>
      </c>
      <c r="D127" s="10" t="n">
        <v>60</v>
      </c>
      <c r="E127" s="46" t="n">
        <v>3.262</v>
      </c>
      <c r="F127" s="46" t="n">
        <v>59.4</v>
      </c>
      <c r="G127" s="10" t="s">
        <v>238</v>
      </c>
    </row>
    <row r="128" customFormat="false" ht="15" hidden="false" customHeight="true" outlineLevel="0" collapsed="false">
      <c r="A128" s="16" t="s">
        <v>82</v>
      </c>
      <c r="B128" s="17" t="n">
        <v>2</v>
      </c>
      <c r="C128" s="17" t="n">
        <v>25</v>
      </c>
      <c r="D128" s="17" t="n">
        <v>50</v>
      </c>
      <c r="E128" s="47" t="n">
        <v>3.239</v>
      </c>
      <c r="F128" s="47" t="n">
        <v>49.5</v>
      </c>
      <c r="G128" s="17" t="s">
        <v>238</v>
      </c>
    </row>
    <row r="129" customFormat="false" ht="15" hidden="false" customHeight="true" outlineLevel="0" collapsed="false">
      <c r="A129" s="16" t="s">
        <v>82</v>
      </c>
      <c r="B129" s="10" t="n">
        <v>2</v>
      </c>
      <c r="C129" s="10" t="n">
        <v>25</v>
      </c>
      <c r="D129" s="10" t="n">
        <v>40</v>
      </c>
      <c r="E129" s="46" t="n">
        <v>3.216</v>
      </c>
      <c r="F129" s="46" t="n">
        <v>39.6</v>
      </c>
      <c r="G129" s="10" t="s">
        <v>238</v>
      </c>
    </row>
    <row r="130" customFormat="false" ht="15" hidden="false" customHeight="true" outlineLevel="0" collapsed="false">
      <c r="A130" s="16" t="s">
        <v>82</v>
      </c>
      <c r="B130" s="17" t="n">
        <v>2</v>
      </c>
      <c r="C130" s="17" t="n">
        <v>25</v>
      </c>
      <c r="D130" s="17" t="n">
        <v>30</v>
      </c>
      <c r="E130" s="47" t="n">
        <v>3.193</v>
      </c>
      <c r="F130" s="47" t="n">
        <v>29.7</v>
      </c>
      <c r="G130" s="17" t="s">
        <v>238</v>
      </c>
    </row>
    <row r="131" customFormat="false" ht="15" hidden="false" customHeight="true" outlineLevel="0" collapsed="false">
      <c r="A131" s="16" t="s">
        <v>82</v>
      </c>
      <c r="B131" s="10" t="n">
        <v>2</v>
      </c>
      <c r="C131" s="10" t="n">
        <v>25</v>
      </c>
      <c r="D131" s="10" t="n">
        <v>20</v>
      </c>
      <c r="E131" s="46" t="n">
        <v>3.17</v>
      </c>
      <c r="F131" s="46" t="n">
        <v>19.8</v>
      </c>
      <c r="G131" s="10" t="s">
        <v>238</v>
      </c>
    </row>
    <row r="132" customFormat="false" ht="15" hidden="false" customHeight="true" outlineLevel="0" collapsed="false">
      <c r="A132" s="16" t="s">
        <v>82</v>
      </c>
      <c r="B132" s="17" t="n">
        <v>2</v>
      </c>
      <c r="C132" s="17" t="n">
        <v>25</v>
      </c>
      <c r="D132" s="17" t="n">
        <v>10</v>
      </c>
      <c r="E132" s="47" t="n">
        <v>2.82</v>
      </c>
      <c r="F132" s="47" t="n">
        <v>9.9</v>
      </c>
      <c r="G132" s="17" t="s">
        <v>238</v>
      </c>
    </row>
    <row r="133" customFormat="false" ht="15" hidden="false" customHeight="true" outlineLevel="0" collapsed="false">
      <c r="A133" s="16" t="s">
        <v>82</v>
      </c>
      <c r="B133" s="10" t="n">
        <v>2</v>
      </c>
      <c r="C133" s="10" t="n">
        <v>25</v>
      </c>
      <c r="D133" s="10" t="n">
        <v>5</v>
      </c>
      <c r="E133" s="46" t="n">
        <v>2.645</v>
      </c>
      <c r="F133" s="46" t="n">
        <v>5</v>
      </c>
      <c r="G133" s="10" t="s">
        <v>238</v>
      </c>
    </row>
    <row r="134" customFormat="false" ht="15" hidden="false" customHeight="true" outlineLevel="0" collapsed="false">
      <c r="A134" s="16" t="s">
        <v>82</v>
      </c>
      <c r="B134" s="17" t="n">
        <v>2</v>
      </c>
      <c r="C134" s="17" t="n">
        <v>25</v>
      </c>
      <c r="D134" s="17" t="n">
        <v>0</v>
      </c>
      <c r="E134" s="47" t="n">
        <v>2.5</v>
      </c>
      <c r="F134" s="47" t="n">
        <v>0</v>
      </c>
      <c r="G134" s="17" t="s">
        <v>238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52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10"/>
  </cols>
  <sheetData>
    <row r="1" customFormat="false" ht="36" hidden="false" customHeight="true" outlineLevel="0" collapsed="false">
      <c r="A1" s="21" t="s">
        <v>239</v>
      </c>
      <c r="B1" s="21"/>
      <c r="C1" s="21"/>
      <c r="D1" s="21"/>
      <c r="E1" s="21"/>
    </row>
    <row r="2" customFormat="false" ht="24" hidden="false" customHeight="true" outlineLevel="0" collapsed="false">
      <c r="A2" s="48" t="s">
        <v>240</v>
      </c>
      <c r="B2" s="48"/>
      <c r="C2" s="48"/>
      <c r="D2" s="48"/>
      <c r="E2" s="48"/>
    </row>
    <row r="4" customFormat="false" ht="21.75" hidden="false" customHeight="true" outlineLevel="0" collapsed="false">
      <c r="A4" s="49" t="s">
        <v>241</v>
      </c>
      <c r="B4" s="49"/>
      <c r="C4" s="49"/>
      <c r="D4" s="49"/>
      <c r="E4" s="49"/>
    </row>
    <row r="5" customFormat="false" ht="21.75" hidden="false" customHeight="true" outlineLevel="0" collapsed="false">
      <c r="A5" s="50" t="s">
        <v>108</v>
      </c>
      <c r="B5" s="51" t="s">
        <v>242</v>
      </c>
      <c r="C5" s="17"/>
      <c r="D5" s="52" t="s">
        <v>243</v>
      </c>
    </row>
    <row r="6" customFormat="false" ht="21.75" hidden="false" customHeight="true" outlineLevel="0" collapsed="false">
      <c r="A6" s="50" t="s">
        <v>109</v>
      </c>
      <c r="B6" s="51" t="s">
        <v>244</v>
      </c>
      <c r="C6" s="17"/>
      <c r="D6" s="52" t="s">
        <v>245</v>
      </c>
    </row>
    <row r="7" customFormat="false" ht="21.75" hidden="false" customHeight="true" outlineLevel="0" collapsed="false">
      <c r="A7" s="50" t="s">
        <v>246</v>
      </c>
      <c r="B7" s="51" t="s">
        <v>247</v>
      </c>
      <c r="C7" s="17" t="s">
        <v>248</v>
      </c>
      <c r="D7" s="52" t="s">
        <v>75</v>
      </c>
    </row>
    <row r="8" customFormat="false" ht="21.75" hidden="false" customHeight="true" outlineLevel="0" collapsed="false">
      <c r="A8" s="50" t="s">
        <v>249</v>
      </c>
      <c r="B8" s="51" t="s">
        <v>250</v>
      </c>
      <c r="C8" s="17"/>
      <c r="D8" s="52" t="s">
        <v>130</v>
      </c>
    </row>
    <row r="9" customFormat="false" ht="21.75" hidden="false" customHeight="true" outlineLevel="0" collapsed="false">
      <c r="A9" s="49" t="s">
        <v>251</v>
      </c>
      <c r="B9" s="49"/>
      <c r="C9" s="49"/>
      <c r="D9" s="49"/>
      <c r="E9" s="49"/>
    </row>
    <row r="10" customFormat="false" ht="21.75" hidden="false" customHeight="true" outlineLevel="0" collapsed="false">
      <c r="A10" s="50" t="s">
        <v>252</v>
      </c>
      <c r="B10" s="51" t="s">
        <v>253</v>
      </c>
      <c r="C10" s="17" t="s">
        <v>254</v>
      </c>
      <c r="D10" s="52" t="n">
        <v>3.65</v>
      </c>
    </row>
    <row r="11" customFormat="false" ht="21.75" hidden="false" customHeight="true" outlineLevel="0" collapsed="false">
      <c r="A11" s="50" t="s">
        <v>255</v>
      </c>
      <c r="B11" s="51" t="s">
        <v>256</v>
      </c>
      <c r="C11" s="17" t="s">
        <v>254</v>
      </c>
      <c r="D11" s="52" t="n">
        <v>4.2</v>
      </c>
    </row>
    <row r="12" customFormat="false" ht="21.75" hidden="false" customHeight="true" outlineLevel="0" collapsed="false">
      <c r="A12" s="50" t="s">
        <v>257</v>
      </c>
      <c r="B12" s="51" t="s">
        <v>258</v>
      </c>
      <c r="C12" s="17" t="s">
        <v>254</v>
      </c>
      <c r="D12" s="52" t="n">
        <v>2.5</v>
      </c>
    </row>
    <row r="13" customFormat="false" ht="21.75" hidden="false" customHeight="true" outlineLevel="0" collapsed="false">
      <c r="A13" s="50" t="s">
        <v>259</v>
      </c>
      <c r="B13" s="51" t="s">
        <v>260</v>
      </c>
      <c r="C13" s="17" t="s">
        <v>261</v>
      </c>
      <c r="D13" s="52" t="n">
        <v>5</v>
      </c>
    </row>
    <row r="14" customFormat="false" ht="21.75" hidden="false" customHeight="true" outlineLevel="0" collapsed="false">
      <c r="A14" s="50" t="s">
        <v>262</v>
      </c>
      <c r="B14" s="51" t="s">
        <v>263</v>
      </c>
      <c r="C14" s="17" t="s">
        <v>264</v>
      </c>
      <c r="D14" s="15" t="n">
        <f aca="false">D13*D10</f>
        <v>18.25</v>
      </c>
    </row>
    <row r="15" customFormat="false" ht="21.75" hidden="false" customHeight="true" outlineLevel="0" collapsed="false">
      <c r="A15" s="50" t="s">
        <v>265</v>
      </c>
      <c r="B15" s="51" t="s">
        <v>266</v>
      </c>
      <c r="C15" s="17" t="s">
        <v>267</v>
      </c>
      <c r="D15" s="52" t="n">
        <v>45</v>
      </c>
    </row>
    <row r="16" customFormat="false" ht="21.75" hidden="false" customHeight="true" outlineLevel="0" collapsed="false">
      <c r="A16" s="50" t="s">
        <v>268</v>
      </c>
      <c r="B16" s="51" t="s">
        <v>269</v>
      </c>
      <c r="C16" s="17" t="s">
        <v>267</v>
      </c>
      <c r="D16" s="52" t="n">
        <v>90</v>
      </c>
    </row>
    <row r="17" customFormat="false" ht="21.75" hidden="false" customHeight="true" outlineLevel="0" collapsed="false">
      <c r="A17" s="50" t="s">
        <v>270</v>
      </c>
      <c r="B17" s="51" t="s">
        <v>271</v>
      </c>
      <c r="C17" s="17" t="s">
        <v>248</v>
      </c>
      <c r="D17" s="52" t="n">
        <v>1</v>
      </c>
    </row>
    <row r="18" customFormat="false" ht="21.75" hidden="false" customHeight="true" outlineLevel="0" collapsed="false">
      <c r="A18" s="50" t="s">
        <v>272</v>
      </c>
      <c r="B18" s="51" t="s">
        <v>273</v>
      </c>
      <c r="C18" s="17" t="s">
        <v>274</v>
      </c>
      <c r="D18" s="52" t="n">
        <v>14</v>
      </c>
    </row>
    <row r="19" customFormat="false" ht="21.75" hidden="false" customHeight="true" outlineLevel="0" collapsed="false">
      <c r="A19" s="49" t="s">
        <v>275</v>
      </c>
      <c r="B19" s="49"/>
      <c r="C19" s="49"/>
      <c r="D19" s="49"/>
      <c r="E19" s="49"/>
    </row>
    <row r="20" customFormat="false" ht="21.75" hidden="false" customHeight="true" outlineLevel="0" collapsed="false">
      <c r="A20" s="50" t="s">
        <v>276</v>
      </c>
      <c r="B20" s="51" t="s">
        <v>277</v>
      </c>
      <c r="C20" s="17" t="s">
        <v>278</v>
      </c>
      <c r="D20" s="52" t="n">
        <v>70</v>
      </c>
    </row>
    <row r="21" customFormat="false" ht="21.75" hidden="false" customHeight="true" outlineLevel="0" collapsed="false">
      <c r="A21" s="50" t="s">
        <v>279</v>
      </c>
      <c r="B21" s="51" t="s">
        <v>280</v>
      </c>
      <c r="C21" s="17" t="s">
        <v>281</v>
      </c>
      <c r="D21" s="52" t="n">
        <v>21</v>
      </c>
    </row>
    <row r="22" customFormat="false" ht="21.75" hidden="false" customHeight="true" outlineLevel="0" collapsed="false">
      <c r="A22" s="50" t="s">
        <v>282</v>
      </c>
      <c r="B22" s="51" t="s">
        <v>283</v>
      </c>
      <c r="C22" s="17" t="s">
        <v>281</v>
      </c>
      <c r="D22" s="52" t="n">
        <v>70</v>
      </c>
    </row>
    <row r="23" customFormat="false" ht="21.75" hidden="false" customHeight="true" outlineLevel="0" collapsed="false">
      <c r="A23" s="50" t="s">
        <v>284</v>
      </c>
      <c r="B23" s="51" t="s">
        <v>285</v>
      </c>
      <c r="C23" s="17" t="s">
        <v>286</v>
      </c>
      <c r="D23" s="15" t="n">
        <f aca="false">PI()*(D21/2/10)^2*(D22/10)</f>
        <v>24.2452413040792</v>
      </c>
    </row>
    <row r="24" customFormat="false" ht="21.75" hidden="false" customHeight="true" outlineLevel="0" collapsed="false">
      <c r="A24" s="50" t="s">
        <v>287</v>
      </c>
      <c r="B24" s="51" t="s">
        <v>288</v>
      </c>
      <c r="C24" s="17" t="s">
        <v>264</v>
      </c>
      <c r="D24" s="15" t="n">
        <f aca="false">D14/D20*1000</f>
        <v>260.714285714286</v>
      </c>
    </row>
    <row r="25" customFormat="false" ht="21.75" hidden="false" customHeight="true" outlineLevel="0" collapsed="false">
      <c r="A25" s="50" t="s">
        <v>289</v>
      </c>
      <c r="B25" s="51" t="s">
        <v>290</v>
      </c>
      <c r="C25" s="17" t="s">
        <v>264</v>
      </c>
      <c r="D25" s="15" t="n">
        <f aca="false">IF(D23=0,"N/A",D14/D23*1000)</f>
        <v>752.725030496168</v>
      </c>
    </row>
    <row r="26" customFormat="false" ht="21.75" hidden="false" customHeight="true" outlineLevel="0" collapsed="false">
      <c r="A26" s="49" t="s">
        <v>291</v>
      </c>
      <c r="B26" s="49"/>
      <c r="C26" s="49"/>
      <c r="D26" s="49"/>
      <c r="E26" s="49"/>
    </row>
    <row r="27" customFormat="false" ht="21.75" hidden="false" customHeight="true" outlineLevel="0" collapsed="false">
      <c r="A27" s="50" t="s">
        <v>292</v>
      </c>
      <c r="B27" s="51" t="s">
        <v>293</v>
      </c>
      <c r="C27" s="17" t="s">
        <v>294</v>
      </c>
      <c r="D27" s="52" t="n">
        <v>800</v>
      </c>
    </row>
    <row r="28" customFormat="false" ht="21.75" hidden="false" customHeight="true" outlineLevel="0" collapsed="false">
      <c r="A28" s="50" t="s">
        <v>295</v>
      </c>
      <c r="B28" s="51" t="s">
        <v>296</v>
      </c>
      <c r="C28" s="17" t="s">
        <v>297</v>
      </c>
      <c r="D28" s="52" t="n">
        <v>5</v>
      </c>
    </row>
    <row r="29" customFormat="false" ht="21.75" hidden="false" customHeight="true" outlineLevel="0" collapsed="false">
      <c r="A29" s="50" t="s">
        <v>298</v>
      </c>
      <c r="B29" s="51" t="s">
        <v>299</v>
      </c>
      <c r="C29" s="17" t="s">
        <v>248</v>
      </c>
      <c r="D29" s="52" t="n">
        <v>-20</v>
      </c>
    </row>
    <row r="30" customFormat="false" ht="21.75" hidden="false" customHeight="true" outlineLevel="0" collapsed="false">
      <c r="A30" s="50" t="s">
        <v>300</v>
      </c>
      <c r="B30" s="51" t="s">
        <v>301</v>
      </c>
      <c r="C30" s="17" t="s">
        <v>248</v>
      </c>
      <c r="D30" s="52" t="n">
        <v>60</v>
      </c>
    </row>
    <row r="31" customFormat="false" ht="21.75" hidden="false" customHeight="true" outlineLevel="0" collapsed="false">
      <c r="A31" s="50" t="s">
        <v>302</v>
      </c>
      <c r="B31" s="51" t="s">
        <v>303</v>
      </c>
      <c r="C31" s="17" t="s">
        <v>304</v>
      </c>
      <c r="D31" s="52" t="n">
        <v>2</v>
      </c>
    </row>
    <row r="32" customFormat="false" ht="21.75" hidden="false" customHeight="true" outlineLevel="0" collapsed="false">
      <c r="A32" s="50" t="s">
        <v>305</v>
      </c>
      <c r="B32" s="51" t="s">
        <v>306</v>
      </c>
      <c r="C32" s="17" t="s">
        <v>304</v>
      </c>
      <c r="D32" s="52" t="n">
        <v>99.5</v>
      </c>
    </row>
    <row r="33" customFormat="false" ht="21.75" hidden="false" customHeight="true" outlineLevel="0" collapsed="false">
      <c r="A33" s="49" t="s">
        <v>307</v>
      </c>
      <c r="B33" s="49"/>
      <c r="C33" s="49"/>
      <c r="D33" s="49"/>
      <c r="E33" s="49"/>
    </row>
    <row r="34" customFormat="false" ht="21.75" hidden="false" customHeight="true" outlineLevel="0" collapsed="false">
      <c r="A34" s="50" t="s">
        <v>308</v>
      </c>
      <c r="B34" s="51" t="s">
        <v>309</v>
      </c>
      <c r="C34" s="17" t="s">
        <v>248</v>
      </c>
      <c r="D34" s="52" t="n">
        <v>4.1</v>
      </c>
    </row>
    <row r="35" customFormat="false" ht="21.75" hidden="false" customHeight="true" outlineLevel="0" collapsed="false">
      <c r="A35" s="50" t="s">
        <v>310</v>
      </c>
      <c r="B35" s="51" t="s">
        <v>311</v>
      </c>
      <c r="C35" s="17" t="s">
        <v>248</v>
      </c>
      <c r="D35" s="52" t="n">
        <v>3.7</v>
      </c>
    </row>
    <row r="36" customFormat="false" ht="21.75" hidden="false" customHeight="true" outlineLevel="0" collapsed="false">
      <c r="A36" s="50" t="s">
        <v>312</v>
      </c>
      <c r="B36" s="51" t="s">
        <v>313</v>
      </c>
      <c r="C36" s="17" t="s">
        <v>248</v>
      </c>
      <c r="D36" s="52" t="n">
        <v>3.2</v>
      </c>
    </row>
    <row r="37" customFormat="false" ht="21.75" hidden="false" customHeight="true" outlineLevel="0" collapsed="false">
      <c r="A37" s="50" t="s">
        <v>314</v>
      </c>
      <c r="B37" s="51" t="s">
        <v>315</v>
      </c>
      <c r="C37" s="17"/>
      <c r="D37" s="52" t="n">
        <v>1.05</v>
      </c>
    </row>
  </sheetData>
  <mergeCells count="7">
    <mergeCell ref="A1:E1"/>
    <mergeCell ref="A2:E2"/>
    <mergeCell ref="A4:E4"/>
    <mergeCell ref="A9:E9"/>
    <mergeCell ref="A19:E19"/>
    <mergeCell ref="A26:E26"/>
    <mergeCell ref="A33:E33"/>
  </mergeCells>
  <dataValidations count="2">
    <dataValidation allowBlank="true" errorStyle="stop" operator="between" showDropDown="false" showErrorMessage="false" showInputMessage="false" sqref="D7" type="list">
      <formula1>"LIPO,LION,LION21,LIFEPO4,LITO,SSS,SOLID,NIMH,LIHV"</formula1>
      <formula2>0</formula2>
    </dataValidation>
    <dataValidation allowBlank="true" errorStyle="stop" operator="between" showDropDown="false" showErrorMessage="false" showInputMessage="false" sqref="D8" type="list">
      <formula1>"Pouch,18650 Cyl,21700 Cyl,26650 Cyl,Prismatic,Other"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56"/>
    <col collapsed="false" customWidth="true" hidden="false" outlineLevel="0" max="3" min="3" style="1" width="6"/>
    <col collapsed="false" customWidth="true" hidden="false" outlineLevel="0" max="4" min="4" style="1" width="14"/>
    <col collapsed="false" customWidth="true" hidden="false" outlineLevel="0" max="5" min="5" style="1" width="10"/>
  </cols>
  <sheetData>
    <row r="1" customFormat="false" ht="36" hidden="false" customHeight="true" outlineLevel="0" collapsed="false">
      <c r="A1" s="21" t="s">
        <v>316</v>
      </c>
      <c r="B1" s="21"/>
      <c r="C1" s="21"/>
      <c r="D1" s="21"/>
      <c r="E1" s="21"/>
    </row>
    <row r="2" customFormat="false" ht="36" hidden="false" customHeight="true" outlineLevel="0" collapsed="false">
      <c r="A2" s="53" t="s">
        <v>317</v>
      </c>
      <c r="B2" s="53"/>
      <c r="C2" s="53"/>
      <c r="D2" s="53"/>
      <c r="E2" s="53"/>
    </row>
    <row r="4" customFormat="false" ht="15" hidden="false" customHeight="true" outlineLevel="0" collapsed="false">
      <c r="A4" s="49" t="s">
        <v>318</v>
      </c>
      <c r="B4" s="49"/>
      <c r="C4" s="49"/>
      <c r="D4" s="49"/>
      <c r="E4" s="49"/>
    </row>
    <row r="5" customFormat="false" ht="21.75" hidden="false" customHeight="true" outlineLevel="0" collapsed="false">
      <c r="A5" s="50" t="s">
        <v>319</v>
      </c>
      <c r="B5" s="51" t="s">
        <v>320</v>
      </c>
      <c r="D5" s="52" t="s">
        <v>321</v>
      </c>
    </row>
    <row r="6" customFormat="false" ht="21.75" hidden="false" customHeight="true" outlineLevel="0" collapsed="false">
      <c r="A6" s="50" t="s">
        <v>322</v>
      </c>
      <c r="B6" s="51" t="s">
        <v>323</v>
      </c>
      <c r="D6" s="52" t="s">
        <v>149</v>
      </c>
    </row>
    <row r="7" customFormat="false" ht="21.75" hidden="false" customHeight="true" outlineLevel="0" collapsed="false">
      <c r="A7" s="50" t="s">
        <v>324</v>
      </c>
      <c r="B7" s="51" t="s">
        <v>325</v>
      </c>
      <c r="D7" s="52" t="n">
        <v>3.65</v>
      </c>
    </row>
    <row r="8" customFormat="false" ht="21.75" hidden="false" customHeight="true" outlineLevel="0" collapsed="false">
      <c r="A8" s="50" t="s">
        <v>326</v>
      </c>
      <c r="B8" s="51" t="s">
        <v>327</v>
      </c>
      <c r="D8" s="52" t="n">
        <v>4.2</v>
      </c>
    </row>
    <row r="9" customFormat="false" ht="21.75" hidden="false" customHeight="true" outlineLevel="0" collapsed="false">
      <c r="A9" s="50" t="s">
        <v>328</v>
      </c>
      <c r="B9" s="51" t="s">
        <v>329</v>
      </c>
      <c r="D9" s="52" t="n">
        <v>2.5</v>
      </c>
    </row>
    <row r="10" customFormat="false" ht="21.75" hidden="false" customHeight="true" outlineLevel="0" collapsed="false">
      <c r="A10" s="50" t="s">
        <v>330</v>
      </c>
      <c r="B10" s="51" t="s">
        <v>331</v>
      </c>
      <c r="D10" s="52" t="n">
        <v>4.5</v>
      </c>
    </row>
    <row r="11" customFormat="false" ht="21.75" hidden="false" customHeight="true" outlineLevel="0" collapsed="false">
      <c r="A11" s="50" t="s">
        <v>332</v>
      </c>
      <c r="B11" s="51" t="s">
        <v>333</v>
      </c>
      <c r="D11" s="52" t="n">
        <v>70</v>
      </c>
    </row>
    <row r="12" customFormat="false" ht="21.75" hidden="false" customHeight="true" outlineLevel="0" collapsed="false">
      <c r="A12" s="50" t="s">
        <v>334</v>
      </c>
      <c r="B12" s="51" t="s">
        <v>335</v>
      </c>
      <c r="D12" s="52" t="n">
        <v>34</v>
      </c>
    </row>
    <row r="13" customFormat="false" ht="21.75" hidden="false" customHeight="true" outlineLevel="0" collapsed="false">
      <c r="A13" s="50" t="s">
        <v>336</v>
      </c>
      <c r="B13" s="51" t="s">
        <v>337</v>
      </c>
      <c r="D13" s="52" t="n">
        <v>45</v>
      </c>
    </row>
    <row r="14" customFormat="false" ht="21.75" hidden="false" customHeight="true" outlineLevel="0" collapsed="false">
      <c r="A14" s="50" t="s">
        <v>338</v>
      </c>
      <c r="B14" s="51" t="s">
        <v>339</v>
      </c>
      <c r="D14" s="52" t="n">
        <v>90</v>
      </c>
    </row>
    <row r="15" customFormat="false" ht="21.75" hidden="false" customHeight="true" outlineLevel="0" collapsed="false">
      <c r="A15" s="50" t="s">
        <v>340</v>
      </c>
      <c r="B15" s="51" t="s">
        <v>341</v>
      </c>
      <c r="D15" s="52" t="n">
        <v>14</v>
      </c>
    </row>
    <row r="16" customFormat="false" ht="21.75" hidden="false" customHeight="true" outlineLevel="0" collapsed="false">
      <c r="A16" s="50" t="s">
        <v>342</v>
      </c>
      <c r="B16" s="51" t="s">
        <v>343</v>
      </c>
      <c r="D16" s="52" t="n">
        <v>800</v>
      </c>
    </row>
    <row r="18" customFormat="false" ht="15" hidden="false" customHeight="true" outlineLevel="0" collapsed="false">
      <c r="A18" s="49" t="s">
        <v>344</v>
      </c>
      <c r="B18" s="49"/>
      <c r="C18" s="49"/>
      <c r="D18" s="49"/>
      <c r="E18" s="49"/>
    </row>
    <row r="19" customFormat="false" ht="21.75" hidden="false" customHeight="true" outlineLevel="0" collapsed="false">
      <c r="A19" s="50" t="s">
        <v>345</v>
      </c>
      <c r="B19" s="51" t="s">
        <v>346</v>
      </c>
      <c r="D19" s="52" t="n">
        <v>6</v>
      </c>
    </row>
    <row r="20" customFormat="false" ht="21.75" hidden="false" customHeight="true" outlineLevel="0" collapsed="false">
      <c r="A20" s="50" t="s">
        <v>347</v>
      </c>
      <c r="B20" s="51" t="s">
        <v>348</v>
      </c>
      <c r="D20" s="52" t="n">
        <v>2</v>
      </c>
    </row>
    <row r="21" customFormat="false" ht="21.75" hidden="false" customHeight="true" outlineLevel="0" collapsed="false">
      <c r="A21" s="50" t="s">
        <v>349</v>
      </c>
      <c r="B21" s="51" t="s">
        <v>350</v>
      </c>
      <c r="D21" s="52" t="n">
        <v>12</v>
      </c>
    </row>
    <row r="22" customFormat="false" ht="21.75" hidden="false" customHeight="true" outlineLevel="0" collapsed="false">
      <c r="A22" s="50" t="s">
        <v>351</v>
      </c>
      <c r="B22" s="51" t="s">
        <v>352</v>
      </c>
      <c r="D22" s="52" t="n">
        <v>1.3</v>
      </c>
    </row>
    <row r="24" customFormat="false" ht="15" hidden="false" customHeight="true" outlineLevel="0" collapsed="false">
      <c r="A24" s="54" t="s">
        <v>353</v>
      </c>
      <c r="B24" s="54"/>
      <c r="C24" s="54"/>
      <c r="D24" s="54"/>
      <c r="E24" s="54"/>
    </row>
    <row r="25" customFormat="false" ht="21.75" hidden="false" customHeight="true" outlineLevel="0" collapsed="false">
      <c r="A25" s="50" t="s">
        <v>354</v>
      </c>
      <c r="B25" s="55" t="s">
        <v>355</v>
      </c>
      <c r="D25" s="15" t="n">
        <f aca="false">D19*D20</f>
        <v>12</v>
      </c>
    </row>
    <row r="26" customFormat="false" ht="21.75" hidden="false" customHeight="true" outlineLevel="0" collapsed="false">
      <c r="A26" s="50" t="s">
        <v>356</v>
      </c>
      <c r="B26" s="55" t="s">
        <v>357</v>
      </c>
      <c r="D26" s="15" t="n">
        <f aca="false">D19*D7</f>
        <v>21.9</v>
      </c>
    </row>
    <row r="27" customFormat="false" ht="21.75" hidden="false" customHeight="true" outlineLevel="0" collapsed="false">
      <c r="A27" s="50" t="s">
        <v>358</v>
      </c>
      <c r="B27" s="55" t="s">
        <v>359</v>
      </c>
      <c r="D27" s="15" t="n">
        <f aca="false">D19*D8</f>
        <v>25.2</v>
      </c>
    </row>
    <row r="28" customFormat="false" ht="21.75" hidden="false" customHeight="true" outlineLevel="0" collapsed="false">
      <c r="A28" s="50" t="s">
        <v>360</v>
      </c>
      <c r="B28" s="55" t="s">
        <v>361</v>
      </c>
      <c r="D28" s="15" t="n">
        <f aca="false">D19*D9</f>
        <v>15</v>
      </c>
    </row>
    <row r="29" customFormat="false" ht="21.75" hidden="false" customHeight="true" outlineLevel="0" collapsed="false">
      <c r="A29" s="50" t="s">
        <v>362</v>
      </c>
      <c r="B29" s="55" t="s">
        <v>363</v>
      </c>
      <c r="D29" s="15" t="n">
        <f aca="false">D20*D10</f>
        <v>9</v>
      </c>
    </row>
    <row r="30" customFormat="false" ht="21.75" hidden="false" customHeight="true" outlineLevel="0" collapsed="false">
      <c r="A30" s="50" t="s">
        <v>364</v>
      </c>
      <c r="B30" s="55" t="s">
        <v>365</v>
      </c>
      <c r="D30" s="15" t="n">
        <f aca="false">D26*D29</f>
        <v>197.1</v>
      </c>
    </row>
    <row r="31" customFormat="false" ht="21.75" hidden="false" customHeight="true" outlineLevel="0" collapsed="false">
      <c r="A31" s="50" t="s">
        <v>366</v>
      </c>
      <c r="B31" s="55" t="s">
        <v>367</v>
      </c>
      <c r="D31" s="15" t="n">
        <f aca="false">D19*D20</f>
        <v>12</v>
      </c>
    </row>
    <row r="32" customFormat="false" ht="21.75" hidden="false" customHeight="true" outlineLevel="0" collapsed="false">
      <c r="A32" s="50" t="s">
        <v>368</v>
      </c>
      <c r="B32" s="55" t="s">
        <v>369</v>
      </c>
      <c r="D32" s="15" t="n">
        <f aca="false">D19*D20*D11</f>
        <v>840</v>
      </c>
    </row>
    <row r="33" customFormat="false" ht="21.75" hidden="false" customHeight="true" outlineLevel="0" collapsed="false">
      <c r="A33" s="50" t="s">
        <v>370</v>
      </c>
      <c r="B33" s="55" t="s">
        <v>371</v>
      </c>
      <c r="D33" s="15" t="n">
        <f aca="false">D32*(1+D21/100)</f>
        <v>940.8</v>
      </c>
    </row>
    <row r="34" customFormat="false" ht="21.75" hidden="false" customHeight="true" outlineLevel="0" collapsed="false">
      <c r="A34" s="50" t="s">
        <v>372</v>
      </c>
      <c r="B34" s="55" t="s">
        <v>373</v>
      </c>
      <c r="D34" s="15" t="n">
        <f aca="false">D30/D33*1000</f>
        <v>209.502551020408</v>
      </c>
    </row>
    <row r="35" customFormat="false" ht="21.75" hidden="false" customHeight="true" outlineLevel="0" collapsed="false">
      <c r="A35" s="50" t="s">
        <v>374</v>
      </c>
      <c r="B35" s="55" t="s">
        <v>375</v>
      </c>
      <c r="D35" s="15" t="n">
        <f aca="false">D19*D20*D12*D22</f>
        <v>530.4</v>
      </c>
    </row>
    <row r="36" customFormat="false" ht="21.75" hidden="false" customHeight="true" outlineLevel="0" collapsed="false">
      <c r="A36" s="50" t="s">
        <v>376</v>
      </c>
      <c r="B36" s="55" t="s">
        <v>377</v>
      </c>
      <c r="D36" s="15" t="n">
        <f aca="false">IF(D35=0,"N/A",D30/D35*1000)</f>
        <v>371.606334841629</v>
      </c>
    </row>
    <row r="37" customFormat="false" ht="21.75" hidden="false" customHeight="true" outlineLevel="0" collapsed="false">
      <c r="A37" s="50" t="s">
        <v>378</v>
      </c>
      <c r="B37" s="55" t="s">
        <v>379</v>
      </c>
      <c r="D37" s="15" t="n">
        <f aca="false">D20*D13</f>
        <v>90</v>
      </c>
    </row>
    <row r="38" customFormat="false" ht="21.75" hidden="false" customHeight="true" outlineLevel="0" collapsed="false">
      <c r="A38" s="50" t="s">
        <v>380</v>
      </c>
      <c r="B38" s="55" t="s">
        <v>381</v>
      </c>
      <c r="D38" s="15" t="n">
        <f aca="false">D26*D37</f>
        <v>1971</v>
      </c>
    </row>
    <row r="39" customFormat="false" ht="21.75" hidden="false" customHeight="true" outlineLevel="0" collapsed="false">
      <c r="A39" s="50" t="s">
        <v>382</v>
      </c>
      <c r="B39" s="55" t="s">
        <v>383</v>
      </c>
      <c r="D39" s="15" t="n">
        <f aca="false">IF(D29=0,"N/A",D37/D29)</f>
        <v>10</v>
      </c>
    </row>
    <row r="40" customFormat="false" ht="21.75" hidden="false" customHeight="true" outlineLevel="0" collapsed="false">
      <c r="A40" s="50" t="s">
        <v>384</v>
      </c>
      <c r="B40" s="55" t="s">
        <v>385</v>
      </c>
      <c r="D40" s="15" t="n">
        <f aca="false">D15*D19/D20</f>
        <v>42</v>
      </c>
    </row>
    <row r="41" customFormat="false" ht="21.75" hidden="false" customHeight="true" outlineLevel="0" collapsed="false">
      <c r="A41" s="50" t="s">
        <v>386</v>
      </c>
      <c r="B41" s="55" t="s">
        <v>387</v>
      </c>
      <c r="D41" s="15" t="n">
        <f aca="false">D20*D14</f>
        <v>180</v>
      </c>
    </row>
    <row r="42" customFormat="false" ht="21.75" hidden="false" customHeight="true" outlineLevel="0" collapsed="false">
      <c r="A42" s="50" t="s">
        <v>388</v>
      </c>
      <c r="B42" s="55" t="s">
        <v>389</v>
      </c>
      <c r="D42" s="15" t="n">
        <f aca="false">D16</f>
        <v>800</v>
      </c>
    </row>
    <row r="44" customFormat="false" ht="21.75" hidden="false" customHeight="true" outlineLevel="0" collapsed="false">
      <c r="A44" s="56" t="s">
        <v>390</v>
      </c>
      <c r="B44" s="56"/>
      <c r="C44" s="56"/>
      <c r="D44" s="56"/>
      <c r="E44" s="56"/>
    </row>
  </sheetData>
  <mergeCells count="6">
    <mergeCell ref="A1:E1"/>
    <mergeCell ref="A2:E2"/>
    <mergeCell ref="A4:E4"/>
    <mergeCell ref="A18:E18"/>
    <mergeCell ref="A24:E24"/>
    <mergeCell ref="A44:E44"/>
  </mergeCells>
  <dataValidations count="1">
    <dataValidation allowBlank="true" errorStyle="stop" operator="between" showDropDown="false" showErrorMessage="false" showInputMessage="false" sqref="D5" type="list">
      <formula1>"CATALOG,CUSTOM"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10" min="8" style="0" width="10"/>
    <col collapsed="false" customWidth="true" hidden="false" outlineLevel="0" max="14" min="11" style="0" width="9"/>
    <col collapsed="false" customWidth="true" hidden="false" outlineLevel="0" max="15" min="15" style="0" width="42"/>
    <col collapsed="false" customWidth="true" hidden="false" outlineLevel="0" max="16" min="16" style="0" width="7"/>
  </cols>
  <sheetData>
    <row r="1" customFormat="false" ht="36" hidden="false" customHeight="true" outlineLevel="0" collapsed="false">
      <c r="A1" s="21" t="s">
        <v>391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customFormat="false" ht="43.5" hidden="false" customHeight="true" outlineLevel="0" collapsed="false">
      <c r="A2" s="22" t="s">
        <v>392</v>
      </c>
      <c r="B2" s="22" t="s">
        <v>393</v>
      </c>
      <c r="C2" s="22" t="s">
        <v>109</v>
      </c>
      <c r="D2" s="22" t="s">
        <v>394</v>
      </c>
      <c r="E2" s="22" t="s">
        <v>395</v>
      </c>
      <c r="F2" s="22" t="s">
        <v>396</v>
      </c>
      <c r="G2" s="22" t="s">
        <v>397</v>
      </c>
      <c r="H2" s="22" t="s">
        <v>398</v>
      </c>
      <c r="I2" s="22" t="s">
        <v>399</v>
      </c>
      <c r="J2" s="22" t="s">
        <v>400</v>
      </c>
      <c r="K2" s="22" t="s">
        <v>401</v>
      </c>
      <c r="L2" s="22" t="s">
        <v>276</v>
      </c>
      <c r="M2" s="22" t="s">
        <v>402</v>
      </c>
      <c r="N2" s="22" t="s">
        <v>403</v>
      </c>
      <c r="O2" s="22" t="s">
        <v>404</v>
      </c>
      <c r="P2" s="22" t="s">
        <v>405</v>
      </c>
    </row>
    <row r="3" customFormat="false" ht="21.75" hidden="false" customHeight="true" outlineLevel="0" collapsed="false">
      <c r="A3" s="57" t="s">
        <v>406</v>
      </c>
      <c r="B3" s="58" t="s">
        <v>407</v>
      </c>
      <c r="C3" s="58" t="s">
        <v>408</v>
      </c>
      <c r="D3" s="58" t="s">
        <v>409</v>
      </c>
      <c r="E3" s="59" t="n">
        <v>22.2</v>
      </c>
      <c r="F3" s="59" t="n">
        <v>12</v>
      </c>
      <c r="G3" s="59" t="n">
        <v>2</v>
      </c>
      <c r="H3" s="59" t="n">
        <v>55</v>
      </c>
      <c r="I3" s="59" t="n">
        <v>85</v>
      </c>
      <c r="J3" s="59" t="n">
        <v>45</v>
      </c>
      <c r="K3" s="59" t="n">
        <v>110</v>
      </c>
      <c r="L3" s="59" t="n">
        <v>135</v>
      </c>
      <c r="M3" s="58" t="n">
        <v>85</v>
      </c>
      <c r="N3" s="58" t="n">
        <v>80</v>
      </c>
      <c r="O3" s="60" t="s">
        <v>410</v>
      </c>
      <c r="P3" s="58" t="s">
        <v>411</v>
      </c>
    </row>
    <row r="4" customFormat="false" ht="21.75" hidden="false" customHeight="true" outlineLevel="0" collapsed="false">
      <c r="A4" s="39" t="s">
        <v>412</v>
      </c>
      <c r="B4" s="58" t="s">
        <v>407</v>
      </c>
      <c r="C4" s="17" t="s">
        <v>408</v>
      </c>
      <c r="D4" s="17" t="s">
        <v>413</v>
      </c>
      <c r="E4" s="61" t="n">
        <v>44.4</v>
      </c>
      <c r="F4" s="61" t="n">
        <v>18</v>
      </c>
      <c r="G4" s="61" t="n">
        <v>3</v>
      </c>
      <c r="H4" s="61" t="n">
        <v>90</v>
      </c>
      <c r="I4" s="61" t="n">
        <v>140</v>
      </c>
      <c r="J4" s="61" t="n">
        <v>75</v>
      </c>
      <c r="K4" s="61" t="n">
        <v>200</v>
      </c>
      <c r="L4" s="61" t="n">
        <v>220</v>
      </c>
      <c r="M4" s="17" t="n">
        <v>87</v>
      </c>
      <c r="N4" s="17" t="n">
        <v>80</v>
      </c>
      <c r="O4" s="41" t="s">
        <v>414</v>
      </c>
      <c r="P4" s="17" t="s">
        <v>411</v>
      </c>
    </row>
    <row r="5" customFormat="false" ht="21.75" hidden="false" customHeight="true" outlineLevel="0" collapsed="false">
      <c r="A5" s="57" t="s">
        <v>415</v>
      </c>
      <c r="B5" s="58" t="s">
        <v>407</v>
      </c>
      <c r="C5" s="58" t="s">
        <v>416</v>
      </c>
      <c r="D5" s="58" t="s">
        <v>417</v>
      </c>
      <c r="E5" s="59" t="n">
        <v>11.1</v>
      </c>
      <c r="F5" s="59" t="n">
        <v>8</v>
      </c>
      <c r="G5" s="59" t="n">
        <v>1</v>
      </c>
      <c r="H5" s="59" t="n">
        <v>35</v>
      </c>
      <c r="I5" s="59" t="n">
        <v>55</v>
      </c>
      <c r="J5" s="59" t="n">
        <v>28</v>
      </c>
      <c r="K5" s="59" t="n">
        <v>75</v>
      </c>
      <c r="L5" s="59" t="n">
        <v>73</v>
      </c>
      <c r="M5" s="58" t="n">
        <v>83</v>
      </c>
      <c r="N5" s="58" t="n">
        <v>80</v>
      </c>
      <c r="O5" s="60" t="s">
        <v>418</v>
      </c>
      <c r="P5" s="58" t="s">
        <v>411</v>
      </c>
    </row>
    <row r="6" customFormat="false" ht="21.75" hidden="false" customHeight="true" outlineLevel="0" collapsed="false">
      <c r="A6" s="39" t="s">
        <v>419</v>
      </c>
      <c r="B6" s="58" t="s">
        <v>407</v>
      </c>
      <c r="C6" s="17" t="s">
        <v>420</v>
      </c>
      <c r="D6" s="17" t="s">
        <v>421</v>
      </c>
      <c r="E6" s="61" t="n">
        <v>44.4</v>
      </c>
      <c r="F6" s="61" t="n">
        <v>20</v>
      </c>
      <c r="G6" s="61" t="n">
        <v>3</v>
      </c>
      <c r="H6" s="61" t="n">
        <v>100</v>
      </c>
      <c r="I6" s="61" t="n">
        <v>160</v>
      </c>
      <c r="J6" s="61" t="n">
        <v>80</v>
      </c>
      <c r="K6" s="61" t="n">
        <v>220</v>
      </c>
      <c r="L6" s="61" t="n">
        <v>268</v>
      </c>
      <c r="M6" s="17" t="n">
        <v>88</v>
      </c>
      <c r="N6" s="17" t="n">
        <v>80</v>
      </c>
      <c r="O6" s="41" t="s">
        <v>422</v>
      </c>
      <c r="P6" s="17" t="s">
        <v>411</v>
      </c>
    </row>
    <row r="7" customFormat="false" ht="21.75" hidden="false" customHeight="true" outlineLevel="0" collapsed="false">
      <c r="A7" s="57" t="s">
        <v>423</v>
      </c>
      <c r="B7" s="58" t="s">
        <v>407</v>
      </c>
      <c r="C7" s="58" t="s">
        <v>420</v>
      </c>
      <c r="D7" s="58" t="s">
        <v>424</v>
      </c>
      <c r="E7" s="59" t="n">
        <v>6</v>
      </c>
      <c r="F7" s="59" t="n">
        <v>0.5</v>
      </c>
      <c r="G7" s="59" t="n">
        <v>3</v>
      </c>
      <c r="H7" s="59" t="n">
        <v>3</v>
      </c>
      <c r="I7" s="59" t="n">
        <v>3</v>
      </c>
      <c r="J7" s="59" t="n">
        <v>3</v>
      </c>
      <c r="K7" s="59" t="n">
        <v>5</v>
      </c>
      <c r="L7" s="59" t="n">
        <v>38</v>
      </c>
      <c r="M7" s="58" t="n">
        <v>98</v>
      </c>
      <c r="N7" s="58" t="n">
        <v>80</v>
      </c>
      <c r="O7" s="60" t="s">
        <v>425</v>
      </c>
      <c r="P7" s="58" t="s">
        <v>411</v>
      </c>
    </row>
    <row r="8" customFormat="false" ht="21.75" hidden="false" customHeight="true" outlineLevel="0" collapsed="false">
      <c r="A8" s="39" t="s">
        <v>426</v>
      </c>
      <c r="B8" s="58" t="s">
        <v>407</v>
      </c>
      <c r="C8" s="17" t="s">
        <v>420</v>
      </c>
      <c r="D8" s="17" t="s">
        <v>427</v>
      </c>
      <c r="E8" s="61" t="n">
        <v>6</v>
      </c>
      <c r="F8" s="61" t="n">
        <v>0.5</v>
      </c>
      <c r="G8" s="61" t="n">
        <v>3</v>
      </c>
      <c r="H8" s="61" t="n">
        <v>3</v>
      </c>
      <c r="I8" s="61" t="n">
        <v>3</v>
      </c>
      <c r="J8" s="61" t="n">
        <v>3</v>
      </c>
      <c r="K8" s="61" t="n">
        <v>5</v>
      </c>
      <c r="L8" s="61" t="n">
        <v>56</v>
      </c>
      <c r="M8" s="17" t="n">
        <v>98</v>
      </c>
      <c r="N8" s="17" t="n">
        <v>80</v>
      </c>
      <c r="O8" s="41" t="s">
        <v>428</v>
      </c>
      <c r="P8" s="17" t="s">
        <v>411</v>
      </c>
    </row>
    <row r="9" customFormat="false" ht="21.75" hidden="false" customHeight="true" outlineLevel="0" collapsed="false">
      <c r="A9" s="31" t="s">
        <v>429</v>
      </c>
      <c r="B9" s="20" t="s">
        <v>430</v>
      </c>
      <c r="C9" s="20" t="s">
        <v>431</v>
      </c>
      <c r="D9" s="20" t="s">
        <v>432</v>
      </c>
      <c r="E9" s="62" t="n">
        <v>5</v>
      </c>
      <c r="F9" s="62" t="n">
        <v>0.8</v>
      </c>
      <c r="G9" s="62" t="n">
        <v>3</v>
      </c>
      <c r="H9" s="62" t="n">
        <v>4</v>
      </c>
      <c r="I9" s="62" t="n">
        <v>4</v>
      </c>
      <c r="J9" s="62" t="n">
        <v>4</v>
      </c>
      <c r="K9" s="62" t="n">
        <v>6</v>
      </c>
      <c r="L9" s="62" t="n">
        <v>65</v>
      </c>
      <c r="M9" s="20" t="n">
        <v>90</v>
      </c>
      <c r="N9" s="20" t="n">
        <v>100</v>
      </c>
      <c r="O9" s="32" t="s">
        <v>433</v>
      </c>
      <c r="P9" s="20" t="s">
        <v>411</v>
      </c>
    </row>
    <row r="10" customFormat="false" ht="21.75" hidden="false" customHeight="true" outlineLevel="0" collapsed="false">
      <c r="A10" s="39" t="s">
        <v>434</v>
      </c>
      <c r="B10" s="20" t="s">
        <v>430</v>
      </c>
      <c r="C10" s="17" t="s">
        <v>435</v>
      </c>
      <c r="D10" s="17" t="s">
        <v>436</v>
      </c>
      <c r="E10" s="61" t="n">
        <v>5</v>
      </c>
      <c r="F10" s="61" t="n">
        <v>1</v>
      </c>
      <c r="G10" s="61" t="n">
        <v>4</v>
      </c>
      <c r="H10" s="61" t="n">
        <v>5</v>
      </c>
      <c r="I10" s="61" t="n">
        <v>5</v>
      </c>
      <c r="J10" s="61" t="n">
        <v>5</v>
      </c>
      <c r="K10" s="61" t="n">
        <v>7</v>
      </c>
      <c r="L10" s="61" t="n">
        <v>68</v>
      </c>
      <c r="M10" s="17" t="n">
        <v>90</v>
      </c>
      <c r="N10" s="17" t="n">
        <v>100</v>
      </c>
      <c r="O10" s="41" t="s">
        <v>437</v>
      </c>
      <c r="P10" s="17" t="s">
        <v>411</v>
      </c>
    </row>
    <row r="11" customFormat="false" ht="21.75" hidden="false" customHeight="true" outlineLevel="0" collapsed="false">
      <c r="A11" s="31" t="s">
        <v>438</v>
      </c>
      <c r="B11" s="20" t="s">
        <v>430</v>
      </c>
      <c r="C11" s="20" t="s">
        <v>435</v>
      </c>
      <c r="D11" s="20" t="s">
        <v>439</v>
      </c>
      <c r="E11" s="62" t="n">
        <v>5</v>
      </c>
      <c r="F11" s="62" t="n">
        <v>0.1</v>
      </c>
      <c r="G11" s="62" t="n">
        <v>0.5</v>
      </c>
      <c r="H11" s="62" t="n">
        <v>0.5</v>
      </c>
      <c r="I11" s="62" t="n">
        <v>0.5</v>
      </c>
      <c r="J11" s="62" t="n">
        <v>0.5</v>
      </c>
      <c r="K11" s="62" t="n">
        <v>1</v>
      </c>
      <c r="L11" s="62" t="n">
        <v>48</v>
      </c>
      <c r="M11" s="20" t="n">
        <v>95</v>
      </c>
      <c r="N11" s="20" t="n">
        <v>100</v>
      </c>
      <c r="O11" s="32" t="s">
        <v>440</v>
      </c>
      <c r="P11" s="20" t="s">
        <v>411</v>
      </c>
    </row>
    <row r="12" customFormat="false" ht="21.75" hidden="false" customHeight="true" outlineLevel="0" collapsed="false">
      <c r="A12" s="39" t="s">
        <v>441</v>
      </c>
      <c r="B12" s="20" t="s">
        <v>430</v>
      </c>
      <c r="C12" s="17" t="s">
        <v>442</v>
      </c>
      <c r="D12" s="17" t="s">
        <v>443</v>
      </c>
      <c r="E12" s="61" t="n">
        <v>5</v>
      </c>
      <c r="F12" s="61" t="n">
        <v>0.25</v>
      </c>
      <c r="G12" s="61" t="n">
        <v>1</v>
      </c>
      <c r="H12" s="61" t="n">
        <v>1.25</v>
      </c>
      <c r="I12" s="61" t="n">
        <v>1.25</v>
      </c>
      <c r="J12" s="61" t="n">
        <v>1.25</v>
      </c>
      <c r="K12" s="61" t="n">
        <v>1.5</v>
      </c>
      <c r="L12" s="61" t="n">
        <v>25</v>
      </c>
      <c r="M12" s="17" t="n">
        <v>95</v>
      </c>
      <c r="N12" s="17" t="n">
        <v>100</v>
      </c>
      <c r="O12" s="41" t="s">
        <v>444</v>
      </c>
      <c r="P12" s="17" t="s">
        <v>411</v>
      </c>
    </row>
    <row r="13" customFormat="false" ht="21.75" hidden="false" customHeight="true" outlineLevel="0" collapsed="false">
      <c r="A13" s="31" t="s">
        <v>445</v>
      </c>
      <c r="B13" s="20" t="s">
        <v>430</v>
      </c>
      <c r="C13" s="20" t="s">
        <v>446</v>
      </c>
      <c r="D13" s="20" t="s">
        <v>447</v>
      </c>
      <c r="E13" s="62" t="n">
        <v>5</v>
      </c>
      <c r="F13" s="62" t="n">
        <v>0.3</v>
      </c>
      <c r="G13" s="62" t="n">
        <v>1.5</v>
      </c>
      <c r="H13" s="62" t="n">
        <v>1.5</v>
      </c>
      <c r="I13" s="62" t="n">
        <v>1.5</v>
      </c>
      <c r="J13" s="62" t="n">
        <v>1.5</v>
      </c>
      <c r="K13" s="62" t="n">
        <v>2</v>
      </c>
      <c r="L13" s="62" t="n">
        <v>15</v>
      </c>
      <c r="M13" s="20" t="n">
        <v>95</v>
      </c>
      <c r="N13" s="20" t="n">
        <v>100</v>
      </c>
      <c r="O13" s="32" t="s">
        <v>448</v>
      </c>
      <c r="P13" s="20" t="s">
        <v>411</v>
      </c>
    </row>
    <row r="14" customFormat="false" ht="21.75" hidden="false" customHeight="true" outlineLevel="0" collapsed="false">
      <c r="A14" s="39" t="s">
        <v>449</v>
      </c>
      <c r="B14" s="19" t="s">
        <v>450</v>
      </c>
      <c r="C14" s="17" t="s">
        <v>451</v>
      </c>
      <c r="D14" s="17" t="s">
        <v>452</v>
      </c>
      <c r="E14" s="61" t="n">
        <v>12</v>
      </c>
      <c r="F14" s="61" t="n">
        <v>0.5</v>
      </c>
      <c r="G14" s="61" t="n">
        <v>3</v>
      </c>
      <c r="H14" s="61" t="n">
        <v>6</v>
      </c>
      <c r="I14" s="61" t="n">
        <v>6</v>
      </c>
      <c r="J14" s="61" t="n">
        <v>6</v>
      </c>
      <c r="K14" s="61" t="n">
        <v>8</v>
      </c>
      <c r="L14" s="61" t="n">
        <v>565</v>
      </c>
      <c r="M14" s="17" t="n">
        <v>90</v>
      </c>
      <c r="N14" s="17" t="n">
        <v>70</v>
      </c>
      <c r="O14" s="41" t="s">
        <v>453</v>
      </c>
      <c r="P14" s="17" t="s">
        <v>411</v>
      </c>
    </row>
    <row r="15" customFormat="false" ht="21.75" hidden="false" customHeight="true" outlineLevel="0" collapsed="false">
      <c r="A15" s="27" t="s">
        <v>454</v>
      </c>
      <c r="B15" s="19" t="s">
        <v>450</v>
      </c>
      <c r="C15" s="19" t="s">
        <v>455</v>
      </c>
      <c r="D15" s="19" t="s">
        <v>456</v>
      </c>
      <c r="E15" s="63" t="n">
        <v>17.6</v>
      </c>
      <c r="F15" s="63" t="n">
        <v>0.5</v>
      </c>
      <c r="G15" s="63" t="n">
        <v>4</v>
      </c>
      <c r="H15" s="63" t="n">
        <v>8</v>
      </c>
      <c r="I15" s="63" t="n">
        <v>8</v>
      </c>
      <c r="J15" s="63" t="n">
        <v>8</v>
      </c>
      <c r="K15" s="63" t="n">
        <v>12</v>
      </c>
      <c r="L15" s="63" t="n">
        <v>449</v>
      </c>
      <c r="M15" s="19" t="n">
        <v>90</v>
      </c>
      <c r="N15" s="19" t="n">
        <v>70</v>
      </c>
      <c r="O15" s="28" t="s">
        <v>457</v>
      </c>
      <c r="P15" s="19" t="s">
        <v>411</v>
      </c>
    </row>
    <row r="16" customFormat="false" ht="21.75" hidden="false" customHeight="true" outlineLevel="0" collapsed="false">
      <c r="A16" s="39" t="s">
        <v>458</v>
      </c>
      <c r="B16" s="19" t="s">
        <v>450</v>
      </c>
      <c r="C16" s="17" t="s">
        <v>459</v>
      </c>
      <c r="D16" s="17" t="s">
        <v>460</v>
      </c>
      <c r="E16" s="61" t="n">
        <v>5</v>
      </c>
      <c r="F16" s="61" t="n">
        <v>0.25</v>
      </c>
      <c r="G16" s="61" t="n">
        <v>1</v>
      </c>
      <c r="H16" s="61" t="n">
        <v>2.5</v>
      </c>
      <c r="I16" s="61" t="n">
        <v>2.5</v>
      </c>
      <c r="J16" s="61" t="n">
        <v>2.5</v>
      </c>
      <c r="K16" s="61" t="n">
        <v>3</v>
      </c>
      <c r="L16" s="61" t="n">
        <v>120</v>
      </c>
      <c r="M16" s="17" t="n">
        <v>90</v>
      </c>
      <c r="N16" s="17" t="n">
        <v>80</v>
      </c>
      <c r="O16" s="41" t="s">
        <v>461</v>
      </c>
      <c r="P16" s="17" t="s">
        <v>411</v>
      </c>
    </row>
    <row r="17" customFormat="false" ht="21.75" hidden="false" customHeight="true" outlineLevel="0" collapsed="false">
      <c r="A17" s="27" t="s">
        <v>462</v>
      </c>
      <c r="B17" s="19" t="s">
        <v>450</v>
      </c>
      <c r="C17" s="19" t="s">
        <v>463</v>
      </c>
      <c r="D17" s="19" t="s">
        <v>464</v>
      </c>
      <c r="E17" s="63" t="n">
        <v>12</v>
      </c>
      <c r="F17" s="63" t="n">
        <v>1.5</v>
      </c>
      <c r="G17" s="63" t="n">
        <v>6</v>
      </c>
      <c r="H17" s="63" t="n">
        <v>18</v>
      </c>
      <c r="I17" s="63" t="n">
        <v>18</v>
      </c>
      <c r="J17" s="63" t="n">
        <v>18</v>
      </c>
      <c r="K17" s="63" t="n">
        <v>22</v>
      </c>
      <c r="L17" s="63" t="n">
        <v>680</v>
      </c>
      <c r="M17" s="19" t="n">
        <v>90</v>
      </c>
      <c r="N17" s="19" t="n">
        <v>100</v>
      </c>
      <c r="O17" s="28" t="s">
        <v>465</v>
      </c>
      <c r="P17" s="19" t="s">
        <v>411</v>
      </c>
    </row>
    <row r="18" customFormat="false" ht="21.75" hidden="false" customHeight="true" outlineLevel="0" collapsed="false">
      <c r="A18" s="39" t="s">
        <v>466</v>
      </c>
      <c r="B18" s="19" t="s">
        <v>450</v>
      </c>
      <c r="C18" s="17" t="s">
        <v>467</v>
      </c>
      <c r="D18" s="17" t="s">
        <v>468</v>
      </c>
      <c r="E18" s="61" t="n">
        <v>12</v>
      </c>
      <c r="F18" s="61" t="n">
        <v>0.5</v>
      </c>
      <c r="G18" s="61" t="n">
        <v>4</v>
      </c>
      <c r="H18" s="61" t="n">
        <v>6</v>
      </c>
      <c r="I18" s="61" t="n">
        <v>6</v>
      </c>
      <c r="J18" s="61" t="n">
        <v>6</v>
      </c>
      <c r="K18" s="61" t="n">
        <v>8</v>
      </c>
      <c r="L18" s="61" t="n">
        <v>265</v>
      </c>
      <c r="M18" s="17" t="n">
        <v>90</v>
      </c>
      <c r="N18" s="17" t="n">
        <v>100</v>
      </c>
      <c r="O18" s="41" t="s">
        <v>469</v>
      </c>
      <c r="P18" s="17" t="s">
        <v>411</v>
      </c>
    </row>
    <row r="19" customFormat="false" ht="21.75" hidden="false" customHeight="true" outlineLevel="0" collapsed="false">
      <c r="A19" s="27" t="s">
        <v>470</v>
      </c>
      <c r="B19" s="19" t="s">
        <v>450</v>
      </c>
      <c r="C19" s="19" t="s">
        <v>471</v>
      </c>
      <c r="D19" s="19" t="s">
        <v>472</v>
      </c>
      <c r="E19" s="63" t="n">
        <v>5.5</v>
      </c>
      <c r="F19" s="63" t="n">
        <v>0.8</v>
      </c>
      <c r="G19" s="63" t="n">
        <v>3</v>
      </c>
      <c r="H19" s="63" t="n">
        <v>4.4</v>
      </c>
      <c r="I19" s="63" t="n">
        <v>4.4</v>
      </c>
      <c r="J19" s="63" t="n">
        <v>4.4</v>
      </c>
      <c r="K19" s="63" t="n">
        <v>6</v>
      </c>
      <c r="L19" s="63" t="n">
        <v>231</v>
      </c>
      <c r="M19" s="19" t="n">
        <v>90</v>
      </c>
      <c r="N19" s="19" t="n">
        <v>80</v>
      </c>
      <c r="O19" s="28" t="s">
        <v>473</v>
      </c>
      <c r="P19" s="19" t="s">
        <v>411</v>
      </c>
    </row>
    <row r="20" customFormat="false" ht="21.75" hidden="false" customHeight="true" outlineLevel="0" collapsed="false">
      <c r="A20" s="39" t="s">
        <v>474</v>
      </c>
      <c r="B20" s="19" t="s">
        <v>450</v>
      </c>
      <c r="C20" s="17" t="s">
        <v>475</v>
      </c>
      <c r="D20" s="17" t="s">
        <v>476</v>
      </c>
      <c r="E20" s="61" t="n">
        <v>5</v>
      </c>
      <c r="F20" s="61" t="n">
        <v>0.5</v>
      </c>
      <c r="G20" s="61" t="n">
        <v>2</v>
      </c>
      <c r="H20" s="61" t="n">
        <v>2.5</v>
      </c>
      <c r="I20" s="61" t="n">
        <v>2.5</v>
      </c>
      <c r="J20" s="61" t="n">
        <v>2.5</v>
      </c>
      <c r="K20" s="61" t="n">
        <v>4</v>
      </c>
      <c r="L20" s="61" t="n">
        <v>92</v>
      </c>
      <c r="M20" s="17" t="n">
        <v>90</v>
      </c>
      <c r="N20" s="17" t="n">
        <v>70</v>
      </c>
      <c r="O20" s="41" t="s">
        <v>477</v>
      </c>
      <c r="P20" s="17" t="s">
        <v>411</v>
      </c>
    </row>
    <row r="21" customFormat="false" ht="21.75" hidden="false" customHeight="true" outlineLevel="0" collapsed="false">
      <c r="A21" s="27" t="s">
        <v>478</v>
      </c>
      <c r="B21" s="19" t="s">
        <v>450</v>
      </c>
      <c r="C21" s="19" t="s">
        <v>459</v>
      </c>
      <c r="D21" s="19" t="s">
        <v>479</v>
      </c>
      <c r="E21" s="63" t="n">
        <v>12</v>
      </c>
      <c r="F21" s="63" t="n">
        <v>0.5</v>
      </c>
      <c r="G21" s="63" t="n">
        <v>4</v>
      </c>
      <c r="H21" s="63" t="n">
        <v>6</v>
      </c>
      <c r="I21" s="63" t="n">
        <v>8</v>
      </c>
      <c r="J21" s="63" t="n">
        <v>6</v>
      </c>
      <c r="K21" s="63" t="n">
        <v>10</v>
      </c>
      <c r="L21" s="63" t="n">
        <v>380</v>
      </c>
      <c r="M21" s="19" t="n">
        <v>85</v>
      </c>
      <c r="N21" s="19" t="n">
        <v>100</v>
      </c>
      <c r="O21" s="28" t="s">
        <v>480</v>
      </c>
      <c r="P21" s="19" t="s">
        <v>411</v>
      </c>
    </row>
    <row r="22" customFormat="false" ht="21.75" hidden="false" customHeight="true" outlineLevel="0" collapsed="false">
      <c r="A22" s="39" t="s">
        <v>481</v>
      </c>
      <c r="B22" s="16" t="s">
        <v>482</v>
      </c>
      <c r="C22" s="17" t="s">
        <v>483</v>
      </c>
      <c r="D22" s="17" t="s">
        <v>484</v>
      </c>
      <c r="E22" s="61" t="n">
        <v>5</v>
      </c>
      <c r="F22" s="61" t="n">
        <v>0.2</v>
      </c>
      <c r="G22" s="61" t="n">
        <v>0.5</v>
      </c>
      <c r="H22" s="61" t="n">
        <v>1</v>
      </c>
      <c r="I22" s="61" t="n">
        <v>1</v>
      </c>
      <c r="J22" s="61" t="n">
        <v>1</v>
      </c>
      <c r="K22" s="61" t="n">
        <v>2</v>
      </c>
      <c r="L22" s="61" t="n">
        <v>45</v>
      </c>
      <c r="M22" s="17" t="n">
        <v>90</v>
      </c>
      <c r="N22" s="17" t="n">
        <v>100</v>
      </c>
      <c r="O22" s="41" t="s">
        <v>485</v>
      </c>
      <c r="P22" s="17" t="s">
        <v>411</v>
      </c>
    </row>
    <row r="23" customFormat="false" ht="21.75" hidden="false" customHeight="true" outlineLevel="0" collapsed="false">
      <c r="A23" s="29" t="s">
        <v>486</v>
      </c>
      <c r="B23" s="16" t="s">
        <v>482</v>
      </c>
      <c r="C23" s="16" t="s">
        <v>487</v>
      </c>
      <c r="D23" s="16" t="s">
        <v>488</v>
      </c>
      <c r="E23" s="64" t="n">
        <v>5</v>
      </c>
      <c r="F23" s="64" t="n">
        <v>0.25</v>
      </c>
      <c r="G23" s="64" t="n">
        <v>0.5</v>
      </c>
      <c r="H23" s="64" t="n">
        <v>1.25</v>
      </c>
      <c r="I23" s="64" t="n">
        <v>1.25</v>
      </c>
      <c r="J23" s="64" t="n">
        <v>1.25</v>
      </c>
      <c r="K23" s="64" t="n">
        <v>2</v>
      </c>
      <c r="L23" s="64" t="n">
        <v>64</v>
      </c>
      <c r="M23" s="16" t="n">
        <v>90</v>
      </c>
      <c r="N23" s="16" t="n">
        <v>100</v>
      </c>
      <c r="O23" s="30" t="s">
        <v>489</v>
      </c>
      <c r="P23" s="16" t="s">
        <v>411</v>
      </c>
    </row>
    <row r="24" customFormat="false" ht="21.75" hidden="false" customHeight="true" outlineLevel="0" collapsed="false">
      <c r="A24" s="39" t="s">
        <v>490</v>
      </c>
      <c r="B24" s="16" t="s">
        <v>482</v>
      </c>
      <c r="C24" s="17" t="s">
        <v>459</v>
      </c>
      <c r="D24" s="17" t="s">
        <v>491</v>
      </c>
      <c r="E24" s="61" t="n">
        <v>5</v>
      </c>
      <c r="F24" s="61" t="n">
        <v>0.5</v>
      </c>
      <c r="G24" s="61" t="n">
        <v>0.5</v>
      </c>
      <c r="H24" s="61" t="n">
        <v>2.5</v>
      </c>
      <c r="I24" s="61" t="n">
        <v>2.5</v>
      </c>
      <c r="J24" s="61" t="n">
        <v>2.5</v>
      </c>
      <c r="K24" s="61" t="n">
        <v>4</v>
      </c>
      <c r="L24" s="61" t="n">
        <v>35</v>
      </c>
      <c r="M24" s="17" t="n">
        <v>85</v>
      </c>
      <c r="N24" s="17" t="n">
        <v>100</v>
      </c>
      <c r="O24" s="41" t="s">
        <v>492</v>
      </c>
      <c r="P24" s="17" t="s">
        <v>411</v>
      </c>
    </row>
    <row r="25" customFormat="false" ht="21.75" hidden="false" customHeight="true" outlineLevel="0" collapsed="false">
      <c r="A25" s="29" t="s">
        <v>493</v>
      </c>
      <c r="B25" s="16" t="s">
        <v>482</v>
      </c>
      <c r="C25" s="16" t="s">
        <v>483</v>
      </c>
      <c r="D25" s="16" t="s">
        <v>494</v>
      </c>
      <c r="E25" s="64" t="n">
        <v>5</v>
      </c>
      <c r="F25" s="64" t="n">
        <v>0.15</v>
      </c>
      <c r="G25" s="64" t="n">
        <v>0.4</v>
      </c>
      <c r="H25" s="64" t="n">
        <v>0.75</v>
      </c>
      <c r="I25" s="64" t="n">
        <v>0.75</v>
      </c>
      <c r="J25" s="64" t="n">
        <v>0.75</v>
      </c>
      <c r="K25" s="64" t="n">
        <v>1.5</v>
      </c>
      <c r="L25" s="64" t="n">
        <v>10</v>
      </c>
      <c r="M25" s="16" t="n">
        <v>88</v>
      </c>
      <c r="N25" s="16" t="n">
        <v>100</v>
      </c>
      <c r="O25" s="30" t="s">
        <v>495</v>
      </c>
      <c r="P25" s="16" t="s">
        <v>411</v>
      </c>
    </row>
    <row r="26" customFormat="false" ht="21.75" hidden="false" customHeight="true" outlineLevel="0" collapsed="false">
      <c r="A26" s="39" t="s">
        <v>496</v>
      </c>
      <c r="B26" s="34" t="s">
        <v>497</v>
      </c>
      <c r="C26" s="17" t="s">
        <v>459</v>
      </c>
      <c r="D26" s="17" t="s">
        <v>498</v>
      </c>
      <c r="E26" s="61" t="n">
        <v>5</v>
      </c>
      <c r="F26" s="61" t="n">
        <v>0.5</v>
      </c>
      <c r="G26" s="61" t="n">
        <v>2</v>
      </c>
      <c r="H26" s="61" t="n">
        <v>2.5</v>
      </c>
      <c r="I26" s="61" t="n">
        <v>2.5</v>
      </c>
      <c r="J26" s="61" t="n">
        <v>2.5</v>
      </c>
      <c r="K26" s="61" t="n">
        <v>4</v>
      </c>
      <c r="L26" s="61" t="n">
        <v>85</v>
      </c>
      <c r="M26" s="17" t="n">
        <v>95</v>
      </c>
      <c r="N26" s="17" t="n">
        <v>100</v>
      </c>
      <c r="O26" s="41" t="s">
        <v>499</v>
      </c>
      <c r="P26" s="17" t="s">
        <v>411</v>
      </c>
    </row>
    <row r="27" customFormat="false" ht="21.75" hidden="false" customHeight="true" outlineLevel="0" collapsed="false">
      <c r="A27" s="33" t="s">
        <v>500</v>
      </c>
      <c r="B27" s="34" t="s">
        <v>497</v>
      </c>
      <c r="C27" s="34" t="s">
        <v>501</v>
      </c>
      <c r="D27" s="34" t="s">
        <v>502</v>
      </c>
      <c r="E27" s="65" t="n">
        <v>5</v>
      </c>
      <c r="F27" s="65" t="n">
        <v>0.5</v>
      </c>
      <c r="G27" s="65" t="n">
        <v>1</v>
      </c>
      <c r="H27" s="65" t="n">
        <v>2.5</v>
      </c>
      <c r="I27" s="65" t="n">
        <v>2.5</v>
      </c>
      <c r="J27" s="65" t="n">
        <v>2.5</v>
      </c>
      <c r="K27" s="65" t="n">
        <v>3</v>
      </c>
      <c r="L27" s="65" t="n">
        <v>28</v>
      </c>
      <c r="M27" s="34" t="n">
        <v>98</v>
      </c>
      <c r="N27" s="34" t="n">
        <v>100</v>
      </c>
      <c r="O27" s="35" t="s">
        <v>503</v>
      </c>
      <c r="P27" s="34" t="s">
        <v>411</v>
      </c>
    </row>
    <row r="28" customFormat="false" ht="21.75" hidden="false" customHeight="true" outlineLevel="0" collapsed="false">
      <c r="A28" s="39" t="s">
        <v>504</v>
      </c>
      <c r="B28" s="34" t="s">
        <v>497</v>
      </c>
      <c r="C28" s="17" t="s">
        <v>459</v>
      </c>
      <c r="D28" s="17" t="s">
        <v>505</v>
      </c>
      <c r="E28" s="61" t="n">
        <v>5</v>
      </c>
      <c r="F28" s="61" t="n">
        <v>0.2</v>
      </c>
      <c r="G28" s="61" t="n">
        <v>0.5</v>
      </c>
      <c r="H28" s="61" t="n">
        <v>1</v>
      </c>
      <c r="I28" s="61" t="n">
        <v>1</v>
      </c>
      <c r="J28" s="61" t="n">
        <v>1</v>
      </c>
      <c r="K28" s="61" t="n">
        <v>2</v>
      </c>
      <c r="L28" s="61" t="n">
        <v>35</v>
      </c>
      <c r="M28" s="17" t="n">
        <v>99</v>
      </c>
      <c r="N28" s="17" t="n">
        <v>100</v>
      </c>
      <c r="O28" s="41" t="s">
        <v>506</v>
      </c>
      <c r="P28" s="17" t="s">
        <v>411</v>
      </c>
    </row>
    <row r="29" customFormat="false" ht="21.75" hidden="false" customHeight="true" outlineLevel="0" collapsed="false">
      <c r="A29" s="36" t="s">
        <v>507</v>
      </c>
      <c r="B29" s="37" t="s">
        <v>508</v>
      </c>
      <c r="C29" s="37" t="s">
        <v>459</v>
      </c>
      <c r="D29" s="37" t="s">
        <v>509</v>
      </c>
      <c r="E29" s="66" t="n">
        <v>0</v>
      </c>
      <c r="F29" s="66" t="n">
        <v>0</v>
      </c>
      <c r="G29" s="66" t="n">
        <v>0</v>
      </c>
      <c r="H29" s="66" t="n">
        <v>0</v>
      </c>
      <c r="I29" s="66" t="n">
        <v>0</v>
      </c>
      <c r="J29" s="66" t="n">
        <v>0</v>
      </c>
      <c r="K29" s="66" t="n">
        <v>0</v>
      </c>
      <c r="L29" s="66" t="n">
        <v>1200</v>
      </c>
      <c r="M29" s="37" t="n">
        <v>100</v>
      </c>
      <c r="N29" s="37" t="n">
        <v>0</v>
      </c>
      <c r="O29" s="38" t="s">
        <v>510</v>
      </c>
      <c r="P29" s="37" t="s">
        <v>411</v>
      </c>
    </row>
    <row r="30" customFormat="false" ht="21.75" hidden="false" customHeight="true" outlineLevel="0" collapsed="false">
      <c r="A30" s="39" t="s">
        <v>511</v>
      </c>
      <c r="B30" s="37" t="s">
        <v>508</v>
      </c>
      <c r="C30" s="17" t="s">
        <v>459</v>
      </c>
      <c r="D30" s="17" t="s">
        <v>512</v>
      </c>
      <c r="E30" s="61" t="n">
        <v>0</v>
      </c>
      <c r="F30" s="61" t="n">
        <v>0</v>
      </c>
      <c r="G30" s="61" t="n">
        <v>0</v>
      </c>
      <c r="H30" s="61" t="n">
        <v>0</v>
      </c>
      <c r="I30" s="61" t="n">
        <v>0</v>
      </c>
      <c r="J30" s="61" t="n">
        <v>0</v>
      </c>
      <c r="K30" s="61" t="n">
        <v>0</v>
      </c>
      <c r="L30" s="61" t="n">
        <v>380</v>
      </c>
      <c r="M30" s="17" t="n">
        <v>100</v>
      </c>
      <c r="N30" s="17" t="n">
        <v>0</v>
      </c>
      <c r="O30" s="41" t="s">
        <v>513</v>
      </c>
      <c r="P30" s="17" t="s">
        <v>411</v>
      </c>
    </row>
    <row r="31" customFormat="false" ht="21.75" hidden="false" customHeight="true" outlineLevel="0" collapsed="false">
      <c r="A31" s="36" t="s">
        <v>514</v>
      </c>
      <c r="B31" s="37" t="s">
        <v>508</v>
      </c>
      <c r="C31" s="37" t="s">
        <v>459</v>
      </c>
      <c r="D31" s="37" t="s">
        <v>515</v>
      </c>
      <c r="E31" s="66" t="n">
        <v>0</v>
      </c>
      <c r="F31" s="66" t="n">
        <v>0</v>
      </c>
      <c r="G31" s="66" t="n">
        <v>0</v>
      </c>
      <c r="H31" s="66" t="n">
        <v>0</v>
      </c>
      <c r="I31" s="66" t="n">
        <v>0</v>
      </c>
      <c r="J31" s="66" t="n">
        <v>0</v>
      </c>
      <c r="K31" s="66" t="n">
        <v>0</v>
      </c>
      <c r="L31" s="66" t="n">
        <v>2200</v>
      </c>
      <c r="M31" s="37" t="n">
        <v>100</v>
      </c>
      <c r="N31" s="37" t="n">
        <v>0</v>
      </c>
      <c r="O31" s="38" t="s">
        <v>516</v>
      </c>
      <c r="P31" s="37" t="s">
        <v>411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5"/>
    <col collapsed="false" customWidth="true" hidden="false" outlineLevel="0" max="7" min="5" style="0" width="14"/>
    <col collapsed="false" customWidth="true" hidden="false" outlineLevel="0" max="8" min="8" style="0" width="36"/>
  </cols>
  <sheetData>
    <row r="1" customFormat="false" ht="36" hidden="false" customHeight="true" outlineLevel="0" collapsed="false">
      <c r="A1" s="21" t="s">
        <v>517</v>
      </c>
      <c r="B1" s="21"/>
      <c r="C1" s="21"/>
      <c r="D1" s="21"/>
    </row>
    <row r="2" customFormat="false" ht="30" hidden="false" customHeight="true" outlineLevel="0" collapsed="false">
      <c r="A2" s="53" t="s">
        <v>518</v>
      </c>
      <c r="B2" s="53"/>
      <c r="C2" s="53"/>
      <c r="D2" s="53"/>
    </row>
    <row r="3" customFormat="false" ht="27.75" hidden="false" customHeight="true" outlineLevel="0" collapsed="false">
      <c r="A3" s="5" t="s">
        <v>519</v>
      </c>
      <c r="B3" s="5" t="s">
        <v>520</v>
      </c>
      <c r="C3" s="5" t="s">
        <v>392</v>
      </c>
      <c r="D3" s="5" t="s">
        <v>521</v>
      </c>
      <c r="E3" s="5" t="s">
        <v>522</v>
      </c>
      <c r="F3" s="5" t="s">
        <v>523</v>
      </c>
      <c r="G3" s="5" t="s">
        <v>524</v>
      </c>
      <c r="H3" s="5" t="s">
        <v>126</v>
      </c>
    </row>
    <row r="4" customFormat="false" ht="19.5" hidden="false" customHeight="true" outlineLevel="0" collapsed="false">
      <c r="A4" s="29" t="s">
        <v>525</v>
      </c>
      <c r="B4" s="16" t="s">
        <v>526</v>
      </c>
      <c r="C4" s="17" t="s">
        <v>406</v>
      </c>
      <c r="D4" s="17" t="n">
        <v>6</v>
      </c>
      <c r="E4" s="52"/>
      <c r="F4" s="52"/>
      <c r="G4" s="52"/>
      <c r="H4" s="67" t="s">
        <v>527</v>
      </c>
    </row>
    <row r="5" customFormat="false" ht="19.5" hidden="false" customHeight="true" outlineLevel="0" collapsed="false">
      <c r="A5" s="29" t="s">
        <v>525</v>
      </c>
      <c r="B5" s="16" t="s">
        <v>526</v>
      </c>
      <c r="C5" s="16" t="s">
        <v>423</v>
      </c>
      <c r="D5" s="16" t="n">
        <v>6</v>
      </c>
      <c r="E5" s="52"/>
      <c r="F5" s="52"/>
      <c r="G5" s="52"/>
      <c r="H5" s="68"/>
    </row>
    <row r="6" customFormat="false" ht="19.5" hidden="false" customHeight="true" outlineLevel="0" collapsed="false">
      <c r="A6" s="29" t="s">
        <v>525</v>
      </c>
      <c r="B6" s="16" t="s">
        <v>526</v>
      </c>
      <c r="C6" s="17" t="s">
        <v>429</v>
      </c>
      <c r="D6" s="17" t="n">
        <v>1</v>
      </c>
      <c r="E6" s="52"/>
      <c r="F6" s="52"/>
      <c r="G6" s="52"/>
      <c r="H6" s="67"/>
    </row>
    <row r="7" customFormat="false" ht="19.5" hidden="false" customHeight="true" outlineLevel="0" collapsed="false">
      <c r="A7" s="29" t="s">
        <v>525</v>
      </c>
      <c r="B7" s="16" t="s">
        <v>526</v>
      </c>
      <c r="C7" s="16" t="s">
        <v>438</v>
      </c>
      <c r="D7" s="16" t="n">
        <v>1</v>
      </c>
      <c r="E7" s="52"/>
      <c r="F7" s="52"/>
      <c r="G7" s="52"/>
      <c r="H7" s="68"/>
    </row>
    <row r="8" customFormat="false" ht="19.5" hidden="false" customHeight="true" outlineLevel="0" collapsed="false">
      <c r="A8" s="29" t="s">
        <v>525</v>
      </c>
      <c r="B8" s="16" t="s">
        <v>526</v>
      </c>
      <c r="C8" s="17" t="s">
        <v>458</v>
      </c>
      <c r="D8" s="17" t="n">
        <v>1</v>
      </c>
      <c r="E8" s="52"/>
      <c r="F8" s="52"/>
      <c r="G8" s="52"/>
      <c r="H8" s="67"/>
    </row>
    <row r="9" customFormat="false" ht="19.5" hidden="false" customHeight="true" outlineLevel="0" collapsed="false">
      <c r="A9" s="29" t="s">
        <v>525</v>
      </c>
      <c r="B9" s="16" t="s">
        <v>526</v>
      </c>
      <c r="C9" s="16" t="s">
        <v>478</v>
      </c>
      <c r="D9" s="16" t="n">
        <v>1</v>
      </c>
      <c r="E9" s="52"/>
      <c r="F9" s="52"/>
      <c r="G9" s="52"/>
      <c r="H9" s="68"/>
    </row>
    <row r="10" customFormat="false" ht="19.5" hidden="false" customHeight="true" outlineLevel="0" collapsed="false">
      <c r="A10" s="29" t="s">
        <v>525</v>
      </c>
      <c r="B10" s="16" t="s">
        <v>526</v>
      </c>
      <c r="C10" s="17" t="s">
        <v>481</v>
      </c>
      <c r="D10" s="17" t="n">
        <v>1</v>
      </c>
      <c r="E10" s="52"/>
      <c r="F10" s="52"/>
      <c r="G10" s="52"/>
      <c r="H10" s="67"/>
    </row>
    <row r="11" customFormat="false" ht="19.5" hidden="false" customHeight="true" outlineLevel="0" collapsed="false">
      <c r="A11" s="29" t="s">
        <v>525</v>
      </c>
      <c r="B11" s="16" t="s">
        <v>526</v>
      </c>
      <c r="C11" s="16" t="s">
        <v>486</v>
      </c>
      <c r="D11" s="16" t="n">
        <v>1</v>
      </c>
      <c r="E11" s="52"/>
      <c r="F11" s="52"/>
      <c r="G11" s="52"/>
      <c r="H11" s="68"/>
    </row>
    <row r="12" customFormat="false" ht="19.5" hidden="false" customHeight="true" outlineLevel="0" collapsed="false">
      <c r="A12" s="29" t="s">
        <v>525</v>
      </c>
      <c r="B12" s="16" t="s">
        <v>526</v>
      </c>
      <c r="C12" s="17" t="s">
        <v>500</v>
      </c>
      <c r="D12" s="17" t="n">
        <v>1</v>
      </c>
      <c r="E12" s="52"/>
      <c r="F12" s="52"/>
      <c r="G12" s="52"/>
      <c r="H12" s="67"/>
    </row>
    <row r="13" customFormat="false" ht="19.5" hidden="false" customHeight="true" outlineLevel="0" collapsed="false">
      <c r="A13" s="29" t="s">
        <v>525</v>
      </c>
      <c r="B13" s="16" t="s">
        <v>526</v>
      </c>
      <c r="C13" s="16" t="s">
        <v>496</v>
      </c>
      <c r="D13" s="16" t="n">
        <v>1</v>
      </c>
      <c r="E13" s="52"/>
      <c r="F13" s="52"/>
      <c r="G13" s="52"/>
      <c r="H13" s="68"/>
    </row>
    <row r="14" customFormat="false" ht="19.5" hidden="false" customHeight="true" outlineLevel="0" collapsed="false">
      <c r="A14" s="29" t="s">
        <v>525</v>
      </c>
      <c r="B14" s="16" t="s">
        <v>526</v>
      </c>
      <c r="C14" s="17" t="s">
        <v>507</v>
      </c>
      <c r="D14" s="17" t="n">
        <v>1</v>
      </c>
      <c r="E14" s="52"/>
      <c r="F14" s="52"/>
      <c r="G14" s="52"/>
      <c r="H14" s="67"/>
    </row>
    <row r="15" customFormat="false" ht="19.5" hidden="false" customHeight="true" outlineLevel="0" collapsed="false">
      <c r="A15" s="27" t="s">
        <v>528</v>
      </c>
      <c r="B15" s="19" t="s">
        <v>529</v>
      </c>
      <c r="C15" s="19" t="s">
        <v>419</v>
      </c>
      <c r="D15" s="19" t="n">
        <v>6</v>
      </c>
      <c r="E15" s="52"/>
      <c r="F15" s="52"/>
      <c r="G15" s="52"/>
      <c r="H15" s="69" t="s">
        <v>530</v>
      </c>
    </row>
    <row r="16" customFormat="false" ht="19.5" hidden="false" customHeight="true" outlineLevel="0" collapsed="false">
      <c r="A16" s="27" t="s">
        <v>528</v>
      </c>
      <c r="B16" s="19" t="s">
        <v>529</v>
      </c>
      <c r="C16" s="17" t="s">
        <v>426</v>
      </c>
      <c r="D16" s="17" t="n">
        <v>6</v>
      </c>
      <c r="E16" s="52"/>
      <c r="F16" s="52"/>
      <c r="G16" s="52"/>
      <c r="H16" s="67"/>
    </row>
    <row r="17" customFormat="false" ht="19.5" hidden="false" customHeight="true" outlineLevel="0" collapsed="false">
      <c r="A17" s="27" t="s">
        <v>528</v>
      </c>
      <c r="B17" s="19" t="s">
        <v>529</v>
      </c>
      <c r="C17" s="19" t="s">
        <v>434</v>
      </c>
      <c r="D17" s="19" t="n">
        <v>1</v>
      </c>
      <c r="E17" s="52"/>
      <c r="F17" s="52"/>
      <c r="G17" s="52"/>
      <c r="H17" s="69"/>
    </row>
    <row r="18" customFormat="false" ht="19.5" hidden="false" customHeight="true" outlineLevel="0" collapsed="false">
      <c r="A18" s="27" t="s">
        <v>528</v>
      </c>
      <c r="B18" s="19" t="s">
        <v>529</v>
      </c>
      <c r="C18" s="17" t="s">
        <v>441</v>
      </c>
      <c r="D18" s="17" t="n">
        <v>1</v>
      </c>
      <c r="E18" s="52"/>
      <c r="F18" s="52"/>
      <c r="G18" s="52"/>
      <c r="H18" s="67"/>
    </row>
    <row r="19" customFormat="false" ht="19.5" hidden="false" customHeight="true" outlineLevel="0" collapsed="false">
      <c r="A19" s="27" t="s">
        <v>528</v>
      </c>
      <c r="B19" s="19" t="s">
        <v>529</v>
      </c>
      <c r="C19" s="19" t="s">
        <v>470</v>
      </c>
      <c r="D19" s="19" t="n">
        <v>1</v>
      </c>
      <c r="E19" s="52"/>
      <c r="F19" s="52"/>
      <c r="G19" s="52"/>
      <c r="H19" s="69" t="s">
        <v>531</v>
      </c>
    </row>
    <row r="20" customFormat="false" ht="19.5" hidden="false" customHeight="true" outlineLevel="0" collapsed="false">
      <c r="A20" s="27" t="s">
        <v>528</v>
      </c>
      <c r="B20" s="19" t="s">
        <v>529</v>
      </c>
      <c r="C20" s="17" t="s">
        <v>481</v>
      </c>
      <c r="D20" s="17" t="n">
        <v>1</v>
      </c>
      <c r="E20" s="52"/>
      <c r="F20" s="52"/>
      <c r="G20" s="52"/>
      <c r="H20" s="67"/>
    </row>
    <row r="21" customFormat="false" ht="19.5" hidden="false" customHeight="true" outlineLevel="0" collapsed="false">
      <c r="A21" s="27" t="s">
        <v>528</v>
      </c>
      <c r="B21" s="19" t="s">
        <v>529</v>
      </c>
      <c r="C21" s="19" t="s">
        <v>486</v>
      </c>
      <c r="D21" s="19" t="n">
        <v>1</v>
      </c>
      <c r="E21" s="52"/>
      <c r="F21" s="52"/>
      <c r="G21" s="52"/>
      <c r="H21" s="69"/>
    </row>
    <row r="22" customFormat="false" ht="19.5" hidden="false" customHeight="true" outlineLevel="0" collapsed="false">
      <c r="A22" s="27" t="s">
        <v>528</v>
      </c>
      <c r="B22" s="19" t="s">
        <v>529</v>
      </c>
      <c r="C22" s="17" t="s">
        <v>500</v>
      </c>
      <c r="D22" s="17" t="n">
        <v>1</v>
      </c>
      <c r="E22" s="52"/>
      <c r="F22" s="52"/>
      <c r="G22" s="52"/>
      <c r="H22" s="67"/>
    </row>
    <row r="23" customFormat="false" ht="19.5" hidden="false" customHeight="true" outlineLevel="0" collapsed="false">
      <c r="A23" s="27" t="s">
        <v>528</v>
      </c>
      <c r="B23" s="19" t="s">
        <v>529</v>
      </c>
      <c r="C23" s="19" t="s">
        <v>496</v>
      </c>
      <c r="D23" s="19" t="n">
        <v>1</v>
      </c>
      <c r="E23" s="52"/>
      <c r="F23" s="52"/>
      <c r="G23" s="52"/>
      <c r="H23" s="69"/>
    </row>
    <row r="24" customFormat="false" ht="19.5" hidden="false" customHeight="true" outlineLevel="0" collapsed="false">
      <c r="A24" s="27" t="s">
        <v>528</v>
      </c>
      <c r="B24" s="19" t="s">
        <v>529</v>
      </c>
      <c r="C24" s="17" t="s">
        <v>514</v>
      </c>
      <c r="D24" s="17" t="n">
        <v>1</v>
      </c>
      <c r="E24" s="52"/>
      <c r="F24" s="52"/>
      <c r="G24" s="52"/>
      <c r="H24" s="67"/>
    </row>
    <row r="25" customFormat="false" ht="19.5" hidden="false" customHeight="true" outlineLevel="0" collapsed="false">
      <c r="A25" s="31" t="s">
        <v>532</v>
      </c>
      <c r="B25" s="20" t="s">
        <v>533</v>
      </c>
      <c r="C25" s="20" t="s">
        <v>415</v>
      </c>
      <c r="D25" s="20" t="n">
        <v>4</v>
      </c>
      <c r="E25" s="52"/>
      <c r="F25" s="52"/>
      <c r="G25" s="52"/>
      <c r="H25" s="70"/>
    </row>
    <row r="26" customFormat="false" ht="19.5" hidden="false" customHeight="true" outlineLevel="0" collapsed="false">
      <c r="A26" s="31" t="s">
        <v>532</v>
      </c>
      <c r="B26" s="20" t="s">
        <v>533</v>
      </c>
      <c r="C26" s="17" t="s">
        <v>423</v>
      </c>
      <c r="D26" s="17" t="n">
        <v>4</v>
      </c>
      <c r="E26" s="52"/>
      <c r="F26" s="52"/>
      <c r="G26" s="52"/>
      <c r="H26" s="67"/>
    </row>
    <row r="27" customFormat="false" ht="19.5" hidden="false" customHeight="true" outlineLevel="0" collapsed="false">
      <c r="A27" s="31" t="s">
        <v>532</v>
      </c>
      <c r="B27" s="20" t="s">
        <v>533</v>
      </c>
      <c r="C27" s="20" t="s">
        <v>429</v>
      </c>
      <c r="D27" s="20" t="n">
        <v>1</v>
      </c>
      <c r="E27" s="52"/>
      <c r="F27" s="52"/>
      <c r="G27" s="52"/>
      <c r="H27" s="70"/>
    </row>
    <row r="28" customFormat="false" ht="19.5" hidden="false" customHeight="true" outlineLevel="0" collapsed="false">
      <c r="A28" s="31" t="s">
        <v>532</v>
      </c>
      <c r="B28" s="20" t="s">
        <v>533</v>
      </c>
      <c r="C28" s="17" t="s">
        <v>438</v>
      </c>
      <c r="D28" s="17" t="n">
        <v>1</v>
      </c>
      <c r="E28" s="52"/>
      <c r="F28" s="52"/>
      <c r="G28" s="52"/>
      <c r="H28" s="67"/>
    </row>
    <row r="29" customFormat="false" ht="19.5" hidden="false" customHeight="true" outlineLevel="0" collapsed="false">
      <c r="A29" s="31" t="s">
        <v>532</v>
      </c>
      <c r="B29" s="20" t="s">
        <v>533</v>
      </c>
      <c r="C29" s="20" t="s">
        <v>474</v>
      </c>
      <c r="D29" s="20" t="n">
        <v>1</v>
      </c>
      <c r="E29" s="52"/>
      <c r="F29" s="52"/>
      <c r="G29" s="52"/>
      <c r="H29" s="70"/>
    </row>
    <row r="30" customFormat="false" ht="19.5" hidden="false" customHeight="true" outlineLevel="0" collapsed="false">
      <c r="A30" s="31" t="s">
        <v>532</v>
      </c>
      <c r="B30" s="20" t="s">
        <v>533</v>
      </c>
      <c r="C30" s="17" t="s">
        <v>478</v>
      </c>
      <c r="D30" s="17" t="n">
        <v>1</v>
      </c>
      <c r="E30" s="52"/>
      <c r="F30" s="52"/>
      <c r="G30" s="52"/>
      <c r="H30" s="67"/>
    </row>
    <row r="31" customFormat="false" ht="19.5" hidden="false" customHeight="true" outlineLevel="0" collapsed="false">
      <c r="A31" s="31" t="s">
        <v>532</v>
      </c>
      <c r="B31" s="20" t="s">
        <v>533</v>
      </c>
      <c r="C31" s="20" t="s">
        <v>481</v>
      </c>
      <c r="D31" s="20" t="n">
        <v>1</v>
      </c>
      <c r="E31" s="52"/>
      <c r="F31" s="52"/>
      <c r="G31" s="52"/>
      <c r="H31" s="70"/>
    </row>
    <row r="32" customFormat="false" ht="19.5" hidden="false" customHeight="true" outlineLevel="0" collapsed="false">
      <c r="A32" s="31" t="s">
        <v>532</v>
      </c>
      <c r="B32" s="20" t="s">
        <v>533</v>
      </c>
      <c r="C32" s="17" t="s">
        <v>493</v>
      </c>
      <c r="D32" s="17" t="n">
        <v>1</v>
      </c>
      <c r="E32" s="52"/>
      <c r="F32" s="52"/>
      <c r="G32" s="52"/>
      <c r="H32" s="67"/>
    </row>
    <row r="33" customFormat="false" ht="19.5" hidden="false" customHeight="true" outlineLevel="0" collapsed="false">
      <c r="A33" s="31" t="s">
        <v>532</v>
      </c>
      <c r="B33" s="20" t="s">
        <v>533</v>
      </c>
      <c r="C33" s="20" t="s">
        <v>500</v>
      </c>
      <c r="D33" s="20" t="n">
        <v>1</v>
      </c>
      <c r="E33" s="52"/>
      <c r="F33" s="52"/>
      <c r="G33" s="52"/>
      <c r="H33" s="70"/>
    </row>
    <row r="34" customFormat="false" ht="19.5" hidden="false" customHeight="true" outlineLevel="0" collapsed="false">
      <c r="A34" s="31" t="s">
        <v>532</v>
      </c>
      <c r="B34" s="20" t="s">
        <v>533</v>
      </c>
      <c r="C34" s="17" t="s">
        <v>511</v>
      </c>
      <c r="D34" s="17" t="n">
        <v>1</v>
      </c>
      <c r="E34" s="52"/>
      <c r="F34" s="52"/>
      <c r="G34" s="52"/>
      <c r="H34" s="67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9" min="7" style="0" width="9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38"/>
  </cols>
  <sheetData>
    <row r="1" customFormat="false" ht="36" hidden="false" customHeight="true" outlineLevel="0" collapsed="false">
      <c r="A1" s="21" t="s">
        <v>534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customFormat="false" ht="36" hidden="false" customHeight="true" outlineLevel="0" collapsed="false">
      <c r="A2" s="53" t="s">
        <v>535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</row>
    <row r="3" customFormat="false" ht="36" hidden="false" customHeight="true" outlineLevel="0" collapsed="false">
      <c r="A3" s="22" t="s">
        <v>536</v>
      </c>
      <c r="B3" s="22" t="s">
        <v>537</v>
      </c>
      <c r="C3" s="22" t="s">
        <v>538</v>
      </c>
      <c r="D3" s="22" t="s">
        <v>539</v>
      </c>
      <c r="E3" s="22" t="s">
        <v>540</v>
      </c>
      <c r="F3" s="22" t="s">
        <v>541</v>
      </c>
      <c r="G3" s="22" t="s">
        <v>542</v>
      </c>
      <c r="H3" s="22" t="s">
        <v>543</v>
      </c>
      <c r="I3" s="22" t="s">
        <v>544</v>
      </c>
      <c r="J3" s="22" t="s">
        <v>545</v>
      </c>
      <c r="K3" s="22" t="s">
        <v>546</v>
      </c>
      <c r="L3" s="22" t="s">
        <v>126</v>
      </c>
    </row>
    <row r="4" customFormat="false" ht="19.5" hidden="false" customHeight="true" outlineLevel="0" collapsed="false">
      <c r="A4" s="29" t="s">
        <v>547</v>
      </c>
      <c r="B4" s="16" t="s">
        <v>548</v>
      </c>
      <c r="C4" s="16" t="s">
        <v>525</v>
      </c>
      <c r="D4" s="10" t="n">
        <v>1</v>
      </c>
      <c r="E4" s="10" t="s">
        <v>549</v>
      </c>
      <c r="F4" s="17" t="s">
        <v>550</v>
      </c>
      <c r="G4" s="71" t="n">
        <v>60</v>
      </c>
      <c r="H4" s="71" t="n">
        <v>0</v>
      </c>
      <c r="I4" s="71" t="n">
        <v>0</v>
      </c>
      <c r="J4" s="71" t="n">
        <v>0</v>
      </c>
      <c r="K4" s="52"/>
      <c r="L4" s="51" t="s">
        <v>551</v>
      </c>
    </row>
    <row r="5" customFormat="false" ht="19.5" hidden="false" customHeight="true" outlineLevel="0" collapsed="false">
      <c r="A5" s="29" t="s">
        <v>547</v>
      </c>
      <c r="B5" s="16" t="s">
        <v>548</v>
      </c>
      <c r="C5" s="16" t="s">
        <v>525</v>
      </c>
      <c r="D5" s="17" t="n">
        <v>2</v>
      </c>
      <c r="E5" s="17" t="s">
        <v>552</v>
      </c>
      <c r="F5" s="58" t="s">
        <v>553</v>
      </c>
      <c r="G5" s="72" t="n">
        <v>30</v>
      </c>
      <c r="H5" s="72" t="n">
        <v>0</v>
      </c>
      <c r="I5" s="72" t="n">
        <v>30</v>
      </c>
      <c r="J5" s="72" t="n">
        <v>3</v>
      </c>
      <c r="K5" s="52"/>
      <c r="L5" s="67" t="s">
        <v>554</v>
      </c>
    </row>
    <row r="6" customFormat="false" ht="19.5" hidden="false" customHeight="true" outlineLevel="0" collapsed="false">
      <c r="A6" s="29" t="s">
        <v>547</v>
      </c>
      <c r="B6" s="16" t="s">
        <v>548</v>
      </c>
      <c r="C6" s="16" t="s">
        <v>525</v>
      </c>
      <c r="D6" s="10" t="n">
        <v>3</v>
      </c>
      <c r="E6" s="10" t="s">
        <v>555</v>
      </c>
      <c r="F6" s="73" t="s">
        <v>556</v>
      </c>
      <c r="G6" s="71" t="n">
        <v>60</v>
      </c>
      <c r="H6" s="71" t="n">
        <v>200</v>
      </c>
      <c r="I6" s="71" t="n">
        <v>100</v>
      </c>
      <c r="J6" s="71" t="n">
        <v>5</v>
      </c>
      <c r="K6" s="52"/>
      <c r="L6" s="51" t="s">
        <v>557</v>
      </c>
    </row>
    <row r="7" customFormat="false" ht="19.5" hidden="false" customHeight="true" outlineLevel="0" collapsed="false">
      <c r="A7" s="29" t="s">
        <v>547</v>
      </c>
      <c r="B7" s="16" t="s">
        <v>548</v>
      </c>
      <c r="C7" s="16" t="s">
        <v>525</v>
      </c>
      <c r="D7" s="17" t="n">
        <v>4</v>
      </c>
      <c r="E7" s="17" t="s">
        <v>558</v>
      </c>
      <c r="F7" s="19" t="s">
        <v>559</v>
      </c>
      <c r="G7" s="72" t="n">
        <v>900</v>
      </c>
      <c r="H7" s="72" t="n">
        <v>4500</v>
      </c>
      <c r="I7" s="72" t="n">
        <v>100</v>
      </c>
      <c r="J7" s="72" t="n">
        <v>8</v>
      </c>
      <c r="K7" s="52"/>
      <c r="L7" s="67" t="s">
        <v>560</v>
      </c>
    </row>
    <row r="8" customFormat="false" ht="19.5" hidden="false" customHeight="true" outlineLevel="0" collapsed="false">
      <c r="A8" s="29" t="s">
        <v>547</v>
      </c>
      <c r="B8" s="16" t="s">
        <v>548</v>
      </c>
      <c r="C8" s="16" t="s">
        <v>525</v>
      </c>
      <c r="D8" s="10" t="n">
        <v>5</v>
      </c>
      <c r="E8" s="10" t="s">
        <v>561</v>
      </c>
      <c r="F8" s="16" t="s">
        <v>562</v>
      </c>
      <c r="G8" s="71" t="n">
        <v>30</v>
      </c>
      <c r="H8" s="71" t="n">
        <v>0</v>
      </c>
      <c r="I8" s="71" t="n">
        <v>100</v>
      </c>
      <c r="J8" s="71" t="n">
        <v>0</v>
      </c>
      <c r="K8" s="52"/>
      <c r="L8" s="51" t="s">
        <v>563</v>
      </c>
    </row>
    <row r="9" customFormat="false" ht="19.5" hidden="false" customHeight="true" outlineLevel="0" collapsed="false">
      <c r="A9" s="29" t="s">
        <v>547</v>
      </c>
      <c r="B9" s="16" t="s">
        <v>548</v>
      </c>
      <c r="C9" s="16" t="s">
        <v>525</v>
      </c>
      <c r="D9" s="17" t="n">
        <v>6</v>
      </c>
      <c r="E9" s="17" t="s">
        <v>564</v>
      </c>
      <c r="F9" s="19" t="s">
        <v>559</v>
      </c>
      <c r="G9" s="72" t="n">
        <v>300</v>
      </c>
      <c r="H9" s="72" t="n">
        <v>2000</v>
      </c>
      <c r="I9" s="72" t="n">
        <v>100</v>
      </c>
      <c r="J9" s="72" t="n">
        <v>8</v>
      </c>
      <c r="K9" s="52"/>
      <c r="L9" s="67" t="s">
        <v>565</v>
      </c>
    </row>
    <row r="10" customFormat="false" ht="19.5" hidden="false" customHeight="true" outlineLevel="0" collapsed="false">
      <c r="A10" s="29" t="s">
        <v>547</v>
      </c>
      <c r="B10" s="16" t="s">
        <v>548</v>
      </c>
      <c r="C10" s="16" t="s">
        <v>525</v>
      </c>
      <c r="D10" s="10" t="n">
        <v>7</v>
      </c>
      <c r="E10" s="10" t="s">
        <v>566</v>
      </c>
      <c r="F10" s="37" t="s">
        <v>567</v>
      </c>
      <c r="G10" s="71" t="n">
        <v>60</v>
      </c>
      <c r="H10" s="71" t="n">
        <v>0</v>
      </c>
      <c r="I10" s="71" t="n">
        <v>30</v>
      </c>
      <c r="J10" s="71" t="n">
        <v>3</v>
      </c>
      <c r="K10" s="52"/>
      <c r="L10" s="51" t="s">
        <v>568</v>
      </c>
    </row>
    <row r="11" customFormat="false" ht="19.5" hidden="false" customHeight="true" outlineLevel="0" collapsed="false">
      <c r="A11" s="29" t="s">
        <v>547</v>
      </c>
      <c r="B11" s="16" t="s">
        <v>548</v>
      </c>
      <c r="C11" s="16" t="s">
        <v>525</v>
      </c>
      <c r="D11" s="17" t="n">
        <v>8</v>
      </c>
      <c r="E11" s="17" t="s">
        <v>569</v>
      </c>
      <c r="F11" s="20" t="s">
        <v>570</v>
      </c>
      <c r="G11" s="72" t="n">
        <v>30</v>
      </c>
      <c r="H11" s="72" t="n">
        <v>0</v>
      </c>
      <c r="I11" s="72" t="n">
        <v>0</v>
      </c>
      <c r="J11" s="72" t="n">
        <v>1</v>
      </c>
      <c r="K11" s="52"/>
      <c r="L11" s="67" t="s">
        <v>571</v>
      </c>
    </row>
    <row r="12" customFormat="false" ht="19.5" hidden="false" customHeight="true" outlineLevel="0" collapsed="false">
      <c r="A12" s="27" t="s">
        <v>572</v>
      </c>
      <c r="B12" s="19" t="s">
        <v>573</v>
      </c>
      <c r="C12" s="19" t="s">
        <v>528</v>
      </c>
      <c r="D12" s="10" t="n">
        <v>1</v>
      </c>
      <c r="E12" s="10" t="s">
        <v>549</v>
      </c>
      <c r="F12" s="17" t="s">
        <v>550</v>
      </c>
      <c r="G12" s="71" t="n">
        <v>90</v>
      </c>
      <c r="H12" s="71" t="n">
        <v>0</v>
      </c>
      <c r="I12" s="71" t="n">
        <v>0</v>
      </c>
      <c r="J12" s="71" t="n">
        <v>0</v>
      </c>
      <c r="K12" s="52"/>
      <c r="L12" s="51" t="s">
        <v>574</v>
      </c>
    </row>
    <row r="13" customFormat="false" ht="19.5" hidden="false" customHeight="true" outlineLevel="0" collapsed="false">
      <c r="A13" s="27" t="s">
        <v>572</v>
      </c>
      <c r="B13" s="19" t="s">
        <v>573</v>
      </c>
      <c r="C13" s="19" t="s">
        <v>528</v>
      </c>
      <c r="D13" s="17" t="n">
        <v>2</v>
      </c>
      <c r="E13" s="17" t="s">
        <v>552</v>
      </c>
      <c r="F13" s="58" t="s">
        <v>553</v>
      </c>
      <c r="G13" s="72" t="n">
        <v>20</v>
      </c>
      <c r="H13" s="72" t="n">
        <v>0</v>
      </c>
      <c r="I13" s="72" t="n">
        <v>5</v>
      </c>
      <c r="J13" s="72" t="n">
        <v>2</v>
      </c>
      <c r="K13" s="52"/>
      <c r="L13" s="67" t="s">
        <v>575</v>
      </c>
    </row>
    <row r="14" customFormat="false" ht="19.5" hidden="false" customHeight="true" outlineLevel="0" collapsed="false">
      <c r="A14" s="27" t="s">
        <v>572</v>
      </c>
      <c r="B14" s="19" t="s">
        <v>573</v>
      </c>
      <c r="C14" s="19" t="s">
        <v>528</v>
      </c>
      <c r="D14" s="10" t="n">
        <v>3</v>
      </c>
      <c r="E14" s="10" t="s">
        <v>576</v>
      </c>
      <c r="F14" s="19" t="s">
        <v>559</v>
      </c>
      <c r="G14" s="71" t="n">
        <v>120</v>
      </c>
      <c r="H14" s="71" t="n">
        <v>600</v>
      </c>
      <c r="I14" s="71" t="n">
        <v>30</v>
      </c>
      <c r="J14" s="71" t="n">
        <v>6</v>
      </c>
      <c r="K14" s="52"/>
      <c r="L14" s="51" t="s">
        <v>577</v>
      </c>
    </row>
    <row r="15" customFormat="false" ht="19.5" hidden="false" customHeight="true" outlineLevel="0" collapsed="false">
      <c r="A15" s="27" t="s">
        <v>572</v>
      </c>
      <c r="B15" s="19" t="s">
        <v>573</v>
      </c>
      <c r="C15" s="19" t="s">
        <v>528</v>
      </c>
      <c r="D15" s="17" t="n">
        <v>4</v>
      </c>
      <c r="E15" s="17" t="s">
        <v>578</v>
      </c>
      <c r="F15" s="19" t="s">
        <v>559</v>
      </c>
      <c r="G15" s="72" t="n">
        <v>240</v>
      </c>
      <c r="H15" s="72" t="n">
        <v>480</v>
      </c>
      <c r="I15" s="72" t="n">
        <v>3</v>
      </c>
      <c r="J15" s="72" t="n">
        <v>2</v>
      </c>
      <c r="K15" s="52"/>
      <c r="L15" s="67" t="s">
        <v>579</v>
      </c>
    </row>
    <row r="16" customFormat="false" ht="19.5" hidden="false" customHeight="true" outlineLevel="0" collapsed="false">
      <c r="A16" s="27" t="s">
        <v>572</v>
      </c>
      <c r="B16" s="19" t="s">
        <v>573</v>
      </c>
      <c r="C16" s="19" t="s">
        <v>528</v>
      </c>
      <c r="D16" s="10" t="n">
        <v>5</v>
      </c>
      <c r="E16" s="10" t="s">
        <v>580</v>
      </c>
      <c r="F16" s="16" t="s">
        <v>562</v>
      </c>
      <c r="G16" s="71" t="n">
        <v>15</v>
      </c>
      <c r="H16" s="71" t="n">
        <v>0</v>
      </c>
      <c r="I16" s="71" t="n">
        <v>3</v>
      </c>
      <c r="J16" s="71" t="n">
        <v>0</v>
      </c>
      <c r="K16" s="52"/>
      <c r="L16" s="51" t="s">
        <v>581</v>
      </c>
    </row>
    <row r="17" customFormat="false" ht="19.5" hidden="false" customHeight="true" outlineLevel="0" collapsed="false">
      <c r="A17" s="27" t="s">
        <v>572</v>
      </c>
      <c r="B17" s="19" t="s">
        <v>573</v>
      </c>
      <c r="C17" s="19" t="s">
        <v>528</v>
      </c>
      <c r="D17" s="17" t="n">
        <v>6</v>
      </c>
      <c r="E17" s="17" t="s">
        <v>582</v>
      </c>
      <c r="F17" s="19" t="s">
        <v>559</v>
      </c>
      <c r="G17" s="72" t="n">
        <v>240</v>
      </c>
      <c r="H17" s="72" t="n">
        <v>480</v>
      </c>
      <c r="I17" s="72" t="n">
        <v>3</v>
      </c>
      <c r="J17" s="72" t="n">
        <v>2</v>
      </c>
      <c r="K17" s="52"/>
      <c r="L17" s="67" t="s">
        <v>583</v>
      </c>
    </row>
    <row r="18" customFormat="false" ht="19.5" hidden="false" customHeight="true" outlineLevel="0" collapsed="false">
      <c r="A18" s="27" t="s">
        <v>572</v>
      </c>
      <c r="B18" s="19" t="s">
        <v>573</v>
      </c>
      <c r="C18" s="19" t="s">
        <v>528</v>
      </c>
      <c r="D18" s="10" t="n">
        <v>7</v>
      </c>
      <c r="E18" s="10" t="s">
        <v>584</v>
      </c>
      <c r="F18" s="19" t="s">
        <v>559</v>
      </c>
      <c r="G18" s="71" t="n">
        <v>240</v>
      </c>
      <c r="H18" s="71" t="n">
        <v>480</v>
      </c>
      <c r="I18" s="71" t="n">
        <v>3</v>
      </c>
      <c r="J18" s="71" t="n">
        <v>2</v>
      </c>
      <c r="K18" s="52"/>
      <c r="L18" s="51" t="s">
        <v>583</v>
      </c>
    </row>
    <row r="19" customFormat="false" ht="19.5" hidden="false" customHeight="true" outlineLevel="0" collapsed="false">
      <c r="A19" s="27" t="s">
        <v>572</v>
      </c>
      <c r="B19" s="19" t="s">
        <v>573</v>
      </c>
      <c r="C19" s="19" t="s">
        <v>528</v>
      </c>
      <c r="D19" s="17" t="n">
        <v>8</v>
      </c>
      <c r="E19" s="17" t="s">
        <v>564</v>
      </c>
      <c r="F19" s="19" t="s">
        <v>559</v>
      </c>
      <c r="G19" s="72" t="n">
        <v>120</v>
      </c>
      <c r="H19" s="72" t="n">
        <v>600</v>
      </c>
      <c r="I19" s="72" t="n">
        <v>30</v>
      </c>
      <c r="J19" s="72" t="n">
        <v>6</v>
      </c>
      <c r="K19" s="52"/>
      <c r="L19" s="67" t="s">
        <v>585</v>
      </c>
    </row>
    <row r="20" customFormat="false" ht="19.5" hidden="false" customHeight="true" outlineLevel="0" collapsed="false">
      <c r="A20" s="27" t="s">
        <v>572</v>
      </c>
      <c r="B20" s="19" t="s">
        <v>573</v>
      </c>
      <c r="C20" s="19" t="s">
        <v>528</v>
      </c>
      <c r="D20" s="10" t="n">
        <v>9</v>
      </c>
      <c r="E20" s="10" t="s">
        <v>569</v>
      </c>
      <c r="F20" s="20" t="s">
        <v>570</v>
      </c>
      <c r="G20" s="71" t="n">
        <v>25</v>
      </c>
      <c r="H20" s="71" t="n">
        <v>0</v>
      </c>
      <c r="I20" s="71" t="n">
        <v>0</v>
      </c>
      <c r="J20" s="71" t="n">
        <v>1</v>
      </c>
      <c r="K20" s="52"/>
      <c r="L20" s="51"/>
    </row>
    <row r="21" customFormat="false" ht="19.5" hidden="false" customHeight="true" outlineLevel="0" collapsed="false">
      <c r="A21" s="31" t="s">
        <v>586</v>
      </c>
      <c r="B21" s="20" t="s">
        <v>587</v>
      </c>
      <c r="C21" s="20" t="s">
        <v>532</v>
      </c>
      <c r="D21" s="17" t="n">
        <v>1</v>
      </c>
      <c r="E21" s="17" t="s">
        <v>588</v>
      </c>
      <c r="F21" s="17" t="s">
        <v>550</v>
      </c>
      <c r="G21" s="72" t="n">
        <v>60</v>
      </c>
      <c r="H21" s="72" t="n">
        <v>0</v>
      </c>
      <c r="I21" s="72" t="n">
        <v>0</v>
      </c>
      <c r="J21" s="72" t="n">
        <v>0</v>
      </c>
      <c r="K21" s="52"/>
      <c r="L21" s="67"/>
    </row>
    <row r="22" customFormat="false" ht="19.5" hidden="false" customHeight="true" outlineLevel="0" collapsed="false">
      <c r="A22" s="31" t="s">
        <v>586</v>
      </c>
      <c r="B22" s="20" t="s">
        <v>587</v>
      </c>
      <c r="C22" s="20" t="s">
        <v>532</v>
      </c>
      <c r="D22" s="10" t="n">
        <v>2</v>
      </c>
      <c r="E22" s="10" t="s">
        <v>552</v>
      </c>
      <c r="F22" s="58" t="s">
        <v>553</v>
      </c>
      <c r="G22" s="71" t="n">
        <v>20</v>
      </c>
      <c r="H22" s="71" t="n">
        <v>0</v>
      </c>
      <c r="I22" s="71" t="n">
        <v>10</v>
      </c>
      <c r="J22" s="71" t="n">
        <v>2</v>
      </c>
      <c r="K22" s="52"/>
      <c r="L22" s="51"/>
    </row>
    <row r="23" customFormat="false" ht="19.5" hidden="false" customHeight="true" outlineLevel="0" collapsed="false">
      <c r="A23" s="31" t="s">
        <v>586</v>
      </c>
      <c r="B23" s="20" t="s">
        <v>587</v>
      </c>
      <c r="C23" s="20" t="s">
        <v>532</v>
      </c>
      <c r="D23" s="17" t="n">
        <v>3</v>
      </c>
      <c r="E23" s="17" t="s">
        <v>589</v>
      </c>
      <c r="F23" s="73" t="s">
        <v>556</v>
      </c>
      <c r="G23" s="72" t="n">
        <v>90</v>
      </c>
      <c r="H23" s="72" t="n">
        <v>0</v>
      </c>
      <c r="I23" s="72" t="n">
        <v>80</v>
      </c>
      <c r="J23" s="72" t="n">
        <v>3</v>
      </c>
      <c r="K23" s="52"/>
      <c r="L23" s="67" t="s">
        <v>590</v>
      </c>
    </row>
    <row r="24" customFormat="false" ht="19.5" hidden="false" customHeight="true" outlineLevel="0" collapsed="false">
      <c r="A24" s="31" t="s">
        <v>586</v>
      </c>
      <c r="B24" s="20" t="s">
        <v>587</v>
      </c>
      <c r="C24" s="20" t="s">
        <v>532</v>
      </c>
      <c r="D24" s="10" t="n">
        <v>4</v>
      </c>
      <c r="E24" s="10" t="s">
        <v>591</v>
      </c>
      <c r="F24" s="16" t="s">
        <v>562</v>
      </c>
      <c r="G24" s="71" t="n">
        <v>300</v>
      </c>
      <c r="H24" s="71" t="n">
        <v>0</v>
      </c>
      <c r="I24" s="71" t="n">
        <v>80</v>
      </c>
      <c r="J24" s="71" t="n">
        <v>0</v>
      </c>
      <c r="K24" s="52"/>
      <c r="L24" s="51" t="s">
        <v>592</v>
      </c>
    </row>
    <row r="25" customFormat="false" ht="19.5" hidden="false" customHeight="true" outlineLevel="0" collapsed="false">
      <c r="A25" s="31" t="s">
        <v>586</v>
      </c>
      <c r="B25" s="20" t="s">
        <v>587</v>
      </c>
      <c r="C25" s="20" t="s">
        <v>532</v>
      </c>
      <c r="D25" s="17" t="n">
        <v>5</v>
      </c>
      <c r="E25" s="17" t="s">
        <v>593</v>
      </c>
      <c r="F25" s="19" t="s">
        <v>559</v>
      </c>
      <c r="G25" s="72" t="n">
        <v>240</v>
      </c>
      <c r="H25" s="72" t="n">
        <v>300</v>
      </c>
      <c r="I25" s="72" t="n">
        <v>80</v>
      </c>
      <c r="J25" s="72" t="n">
        <v>1</v>
      </c>
      <c r="K25" s="52"/>
      <c r="L25" s="67" t="s">
        <v>594</v>
      </c>
    </row>
    <row r="26" customFormat="false" ht="19.5" hidden="false" customHeight="true" outlineLevel="0" collapsed="false">
      <c r="A26" s="31" t="s">
        <v>586</v>
      </c>
      <c r="B26" s="20" t="s">
        <v>587</v>
      </c>
      <c r="C26" s="20" t="s">
        <v>532</v>
      </c>
      <c r="D26" s="10" t="n">
        <v>6</v>
      </c>
      <c r="E26" s="10" t="s">
        <v>595</v>
      </c>
      <c r="F26" s="16" t="s">
        <v>562</v>
      </c>
      <c r="G26" s="71" t="n">
        <v>60</v>
      </c>
      <c r="H26" s="71" t="n">
        <v>0</v>
      </c>
      <c r="I26" s="71" t="n">
        <v>60</v>
      </c>
      <c r="J26" s="71" t="n">
        <v>0</v>
      </c>
      <c r="K26" s="52"/>
      <c r="L26" s="51" t="s">
        <v>596</v>
      </c>
    </row>
    <row r="27" customFormat="false" ht="19.5" hidden="false" customHeight="true" outlineLevel="0" collapsed="false">
      <c r="A27" s="31" t="s">
        <v>586</v>
      </c>
      <c r="B27" s="20" t="s">
        <v>587</v>
      </c>
      <c r="C27" s="20" t="s">
        <v>532</v>
      </c>
      <c r="D27" s="17" t="n">
        <v>7</v>
      </c>
      <c r="E27" s="17" t="s">
        <v>566</v>
      </c>
      <c r="F27" s="37" t="s">
        <v>567</v>
      </c>
      <c r="G27" s="72" t="n">
        <v>60</v>
      </c>
      <c r="H27" s="72" t="n">
        <v>0</v>
      </c>
      <c r="I27" s="72" t="n">
        <v>10</v>
      </c>
      <c r="J27" s="72" t="n">
        <v>2</v>
      </c>
      <c r="K27" s="52"/>
      <c r="L27" s="67"/>
    </row>
    <row r="28" customFormat="false" ht="19.5" hidden="false" customHeight="true" outlineLevel="0" collapsed="false">
      <c r="A28" s="31" t="s">
        <v>586</v>
      </c>
      <c r="B28" s="20" t="s">
        <v>587</v>
      </c>
      <c r="C28" s="20" t="s">
        <v>532</v>
      </c>
      <c r="D28" s="10" t="n">
        <v>8</v>
      </c>
      <c r="E28" s="10" t="s">
        <v>569</v>
      </c>
      <c r="F28" s="20" t="s">
        <v>570</v>
      </c>
      <c r="G28" s="71" t="n">
        <v>20</v>
      </c>
      <c r="H28" s="71" t="n">
        <v>0</v>
      </c>
      <c r="I28" s="71" t="n">
        <v>0</v>
      </c>
      <c r="J28" s="71" t="n">
        <v>1</v>
      </c>
      <c r="K28" s="52"/>
      <c r="L28" s="51"/>
    </row>
    <row r="31" customFormat="false" ht="19.5" hidden="false" customHeight="true" outlineLevel="0" collapsed="false">
      <c r="A31" s="49" t="s">
        <v>597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</row>
    <row r="32" customFormat="false" ht="18" hidden="false" customHeight="true" outlineLevel="0" collapsed="false">
      <c r="A32" s="39" t="s">
        <v>550</v>
      </c>
      <c r="B32" s="74" t="s">
        <v>598</v>
      </c>
      <c r="C32" s="74"/>
      <c r="D32" s="74"/>
      <c r="E32" s="74"/>
      <c r="F32" s="74"/>
      <c r="G32" s="74"/>
      <c r="H32" s="74"/>
      <c r="I32" s="74"/>
      <c r="J32" s="74"/>
      <c r="K32" s="74"/>
      <c r="L32" s="74"/>
    </row>
    <row r="33" customFormat="false" ht="18" hidden="false" customHeight="true" outlineLevel="0" collapsed="false">
      <c r="A33" s="57" t="s">
        <v>553</v>
      </c>
      <c r="B33" s="74" t="s">
        <v>599</v>
      </c>
      <c r="C33" s="74"/>
      <c r="D33" s="74"/>
      <c r="E33" s="74"/>
      <c r="F33" s="74"/>
      <c r="G33" s="74"/>
      <c r="H33" s="74"/>
      <c r="I33" s="74"/>
      <c r="J33" s="74"/>
      <c r="K33" s="74"/>
      <c r="L33" s="74"/>
    </row>
    <row r="34" customFormat="false" ht="18" hidden="false" customHeight="true" outlineLevel="0" collapsed="false">
      <c r="A34" s="75" t="s">
        <v>556</v>
      </c>
      <c r="B34" s="74" t="s">
        <v>600</v>
      </c>
      <c r="C34" s="74"/>
      <c r="D34" s="74"/>
      <c r="E34" s="74"/>
      <c r="F34" s="74"/>
      <c r="G34" s="74"/>
      <c r="H34" s="74"/>
      <c r="I34" s="74"/>
      <c r="J34" s="74"/>
      <c r="K34" s="74"/>
      <c r="L34" s="74"/>
    </row>
    <row r="35" customFormat="false" ht="18" hidden="false" customHeight="true" outlineLevel="0" collapsed="false">
      <c r="A35" s="27" t="s">
        <v>559</v>
      </c>
      <c r="B35" s="74" t="s">
        <v>601</v>
      </c>
      <c r="C35" s="74"/>
      <c r="D35" s="74"/>
      <c r="E35" s="74"/>
      <c r="F35" s="74"/>
      <c r="G35" s="74"/>
      <c r="H35" s="74"/>
      <c r="I35" s="74"/>
      <c r="J35" s="74"/>
      <c r="K35" s="74"/>
      <c r="L35" s="74"/>
    </row>
    <row r="36" customFormat="false" ht="18" hidden="false" customHeight="true" outlineLevel="0" collapsed="false">
      <c r="A36" s="29" t="s">
        <v>562</v>
      </c>
      <c r="B36" s="74" t="s">
        <v>602</v>
      </c>
      <c r="C36" s="74"/>
      <c r="D36" s="74"/>
      <c r="E36" s="74"/>
      <c r="F36" s="74"/>
      <c r="G36" s="74"/>
      <c r="H36" s="74"/>
      <c r="I36" s="74"/>
      <c r="J36" s="74"/>
      <c r="K36" s="74"/>
      <c r="L36" s="74"/>
    </row>
    <row r="37" customFormat="false" ht="18" hidden="false" customHeight="true" outlineLevel="0" collapsed="false">
      <c r="A37" s="36" t="s">
        <v>567</v>
      </c>
      <c r="B37" s="74" t="s">
        <v>603</v>
      </c>
      <c r="C37" s="74"/>
      <c r="D37" s="74"/>
      <c r="E37" s="74"/>
      <c r="F37" s="74"/>
      <c r="G37" s="74"/>
      <c r="H37" s="74"/>
      <c r="I37" s="74"/>
      <c r="J37" s="74"/>
      <c r="K37" s="74"/>
      <c r="L37" s="74"/>
    </row>
    <row r="38" customFormat="false" ht="18" hidden="false" customHeight="true" outlineLevel="0" collapsed="false">
      <c r="A38" s="31" t="s">
        <v>570</v>
      </c>
      <c r="B38" s="74" t="s">
        <v>604</v>
      </c>
      <c r="C38" s="74"/>
      <c r="D38" s="74"/>
      <c r="E38" s="74"/>
      <c r="F38" s="74"/>
      <c r="G38" s="74"/>
      <c r="H38" s="74"/>
      <c r="I38" s="74"/>
      <c r="J38" s="74"/>
      <c r="K38" s="74"/>
      <c r="L38" s="74"/>
    </row>
    <row r="39" customFormat="false" ht="18" hidden="false" customHeight="true" outlineLevel="0" collapsed="false">
      <c r="A39" s="33" t="s">
        <v>605</v>
      </c>
      <c r="B39" s="74" t="s">
        <v>606</v>
      </c>
      <c r="C39" s="74"/>
      <c r="D39" s="74"/>
      <c r="E39" s="74"/>
      <c r="F39" s="74"/>
      <c r="G39" s="74"/>
      <c r="H39" s="74"/>
      <c r="I39" s="74"/>
      <c r="J39" s="74"/>
      <c r="K39" s="74"/>
      <c r="L39" s="74"/>
    </row>
    <row r="40" customFormat="false" ht="18" hidden="false" customHeight="true" outlineLevel="0" collapsed="false">
      <c r="A40" s="76" t="s">
        <v>607</v>
      </c>
      <c r="B40" s="74" t="s">
        <v>608</v>
      </c>
      <c r="C40" s="74"/>
      <c r="D40" s="74"/>
      <c r="E40" s="74"/>
      <c r="F40" s="74"/>
      <c r="G40" s="74"/>
      <c r="H40" s="74"/>
      <c r="I40" s="74"/>
      <c r="J40" s="74"/>
      <c r="K40" s="74"/>
      <c r="L40" s="74"/>
    </row>
  </sheetData>
  <mergeCells count="12">
    <mergeCell ref="A1:L1"/>
    <mergeCell ref="A2:L2"/>
    <mergeCell ref="A31:L31"/>
    <mergeCell ref="B32:L32"/>
    <mergeCell ref="B33:L33"/>
    <mergeCell ref="B34:L34"/>
    <mergeCell ref="B35:L35"/>
    <mergeCell ref="B36:L36"/>
    <mergeCell ref="B37:L37"/>
    <mergeCell ref="B38:L38"/>
    <mergeCell ref="B39:L39"/>
    <mergeCell ref="B40:L40"/>
  </mergeCells>
  <dataValidations count="1">
    <dataValidation allowBlank="false" errorStyle="stop" operator="between" showDropDown="false" showErrorMessage="false" showInputMessage="false" sqref="F4:F28" type="list">
      <formula1>"IDLE,TAKEOFF,CLIMB,CRUISE,HOVER,DESCEND,LAND,PAYLOAD_OPS,EMERGENCY"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2026-03-20T04:47:10Z</dcterms:created>
  <dc:creator>openpyxl</dc:creator>
  <dc:description/>
  <dc:language>en-US</dc:language>
  <cp:lastModifiedBy/>
  <dcterms:modified xsi:type="dcterms:W3CDTF">2026-03-20T04:54:53Z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