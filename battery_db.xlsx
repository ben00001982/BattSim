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mistry_Library" sheetId="2" state="visible" r:id="rId2"/>
    <sheet xmlns:r="http://schemas.openxmlformats.org/officeDocument/2006/relationships" name="Cell_Catalog" sheetId="3" state="visible" r:id="rId3"/>
    <sheet xmlns:r="http://schemas.openxmlformats.org/officeDocument/2006/relationships" name="Battery_Catalog" sheetId="4" state="visible" r:id="rId4"/>
    <sheet xmlns:r="http://schemas.openxmlformats.org/officeDocument/2006/relationships" name="Discharge_Profiles" sheetId="5" state="visible" r:id="rId5"/>
    <sheet xmlns:r="http://schemas.openxmlformats.org/officeDocument/2006/relationships" name="Custom_Cell" sheetId="6" state="visible" r:id="rId6"/>
    <sheet xmlns:r="http://schemas.openxmlformats.org/officeDocument/2006/relationships" name="Custom_Pack_Builder" sheetId="7" state="visible" r:id="rId7"/>
    <sheet xmlns:r="http://schemas.openxmlformats.org/officeDocument/2006/relationships" name="Equipment_DB" sheetId="8" state="visible" r:id="rId8"/>
    <sheet xmlns:r="http://schemas.openxmlformats.org/officeDocument/2006/relationships" name="UAV_Configurations" sheetId="9" state="visible" r:id="rId9"/>
    <sheet xmlns:r="http://schemas.openxmlformats.org/officeDocument/2006/relationships" name="Mission_Profiles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41719C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1"/>
    </font>
  </fonts>
  <fills count="1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9E1F2"/>
      </patternFill>
    </fill>
    <fill>
      <patternFill patternType="solid">
        <fgColor rgb="FF2E75B6"/>
        <bgColor rgb="FF41719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EACC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D6E4F0"/>
      </patternFill>
    </fill>
    <fill>
      <patternFill patternType="solid">
        <fgColor rgb="FFF2F2F2"/>
        <bgColor rgb="FFE2EFDA"/>
      </patternFill>
    </fill>
    <fill>
      <patternFill patternType="solid">
        <fgColor rgb="FFFFE699"/>
        <bgColor rgb="FFFFE7CC"/>
      </patternFill>
    </fill>
    <fill>
      <patternFill patternType="solid">
        <fgColor rgb="FFC6E0B4"/>
        <bgColor rgb="FFBDD7EE"/>
      </patternFill>
    </fill>
    <fill>
      <patternFill patternType="solid">
        <fgColor rgb="FFE2CEEF"/>
        <bgColor rgb="FFD9E1F2"/>
      </patternFill>
    </fill>
    <fill>
      <patternFill patternType="solid">
        <fgColor rgb="FF41719C"/>
        <bgColor rgb="FF2E75B6"/>
      </patternFill>
    </fill>
    <fill>
      <patternFill patternType="solid">
        <fgColor rgb="FFFCE4D6"/>
        <bgColor rgb="FFFFE7CC"/>
      </patternFill>
    </fill>
    <fill>
      <patternFill patternType="solid">
        <fgColor rgb="FFD9E1F2"/>
        <bgColor rgb="FFD6E4F0"/>
      </patternFill>
    </fill>
    <fill>
      <patternFill patternType="solid">
        <fgColor rgb="FFFFE7CC"/>
        <bgColor rgb="FFFFEACC"/>
      </patternFill>
    </fill>
    <fill>
      <patternFill patternType="solid">
        <fgColor rgb="FFFFEACC"/>
        <bgColor rgb="FFFFE7CC"/>
      </patternFill>
    </fill>
    <fill>
      <patternFill patternType="solid">
        <fgColor rgb="FFFF9999"/>
        <bgColor rgb="FFFF8080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/>
    </xf>
    <xf numFmtId="2" fontId="8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 wrapText="1"/>
    </xf>
    <xf numFmtId="2" fontId="8" fillId="5" borderId="2" applyAlignment="1" pivotButton="0" quotePrefix="0" xfId="0">
      <alignment horizontal="center" vertical="center"/>
    </xf>
    <xf numFmtId="2" fontId="8" fillId="11" borderId="2" applyAlignment="1" pivotButton="0" quotePrefix="0" xfId="0">
      <alignment horizontal="center" vertical="center"/>
    </xf>
    <xf numFmtId="2" fontId="8" fillId="8" borderId="2" applyAlignment="1" pivotButton="0" quotePrefix="0" xfId="0">
      <alignment horizontal="center" vertical="center"/>
    </xf>
    <xf numFmtId="2" fontId="8" fillId="12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164" fontId="8" fillId="9" borderId="2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center" vertical="center"/>
    </xf>
    <xf numFmtId="165" fontId="8" fillId="16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left" vertical="center" wrapText="1"/>
    </xf>
    <xf numFmtId="165" fontId="8" fillId="9" borderId="2" applyAlignment="1" pivotButton="0" quotePrefix="0" xfId="0">
      <alignment horizontal="center" vertical="center"/>
    </xf>
    <xf numFmtId="165" fontId="8" fillId="12" borderId="2" applyAlignment="1" pivotButton="0" quotePrefix="0" xfId="0">
      <alignment horizontal="center" vertical="center"/>
    </xf>
    <xf numFmtId="165" fontId="8" fillId="11" borderId="2" applyAlignment="1" pivotButton="0" quotePrefix="0" xfId="0">
      <alignment horizontal="center" vertical="center"/>
    </xf>
    <xf numFmtId="165" fontId="8" fillId="8" borderId="2" applyAlignment="1" pivotButton="0" quotePrefix="0" xfId="0">
      <alignment horizontal="center" vertical="center"/>
    </xf>
    <xf numFmtId="165" fontId="8" fillId="14" borderId="2" applyAlignment="1" pivotButton="0" quotePrefix="0" xfId="0">
      <alignment horizontal="center" vertical="center"/>
    </xf>
    <xf numFmtId="165" fontId="8" fillId="15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1" fontId="8" fillId="5" borderId="2" applyAlignment="1" pivotButton="0" quotePrefix="0" xfId="0">
      <alignment horizontal="center" vertical="center"/>
    </xf>
    <xf numFmtId="1" fontId="8" fillId="9" borderId="2" applyAlignment="1" pivotButton="0" quotePrefix="0" xfId="0">
      <alignment horizontal="center" vertical="center"/>
    </xf>
    <xf numFmtId="0" fontId="8" fillId="17" borderId="2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17" borderId="2" applyAlignment="1" pivotButton="0" quotePrefix="0" xfId="0">
      <alignment horizontal="center" vertical="center"/>
    </xf>
    <xf numFmtId="0" fontId="7" fillId="18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/>
    </xf>
    <xf numFmtId="2" fontId="8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 wrapText="1"/>
    </xf>
    <xf numFmtId="2" fontId="8" fillId="5" borderId="2" applyAlignment="1" pivotButton="0" quotePrefix="0" xfId="0">
      <alignment horizontal="center" vertical="center"/>
    </xf>
    <xf numFmtId="2" fontId="8" fillId="11" borderId="2" applyAlignment="1" pivotButton="0" quotePrefix="0" xfId="0">
      <alignment horizontal="center" vertical="center"/>
    </xf>
    <xf numFmtId="2" fontId="8" fillId="8" borderId="2" applyAlignment="1" pivotButton="0" quotePrefix="0" xfId="0">
      <alignment horizontal="center" vertical="center"/>
    </xf>
    <xf numFmtId="2" fontId="8" fillId="12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164" fontId="8" fillId="9" borderId="2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center" vertical="center"/>
    </xf>
    <xf numFmtId="165" fontId="8" fillId="16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left" vertical="center" wrapText="1"/>
    </xf>
    <xf numFmtId="165" fontId="8" fillId="9" borderId="2" applyAlignment="1" pivotButton="0" quotePrefix="0" xfId="0">
      <alignment horizontal="center" vertical="center"/>
    </xf>
    <xf numFmtId="165" fontId="8" fillId="12" borderId="2" applyAlignment="1" pivotButton="0" quotePrefix="0" xfId="0">
      <alignment horizontal="center" vertical="center"/>
    </xf>
    <xf numFmtId="165" fontId="8" fillId="11" borderId="2" applyAlignment="1" pivotButton="0" quotePrefix="0" xfId="0">
      <alignment horizontal="center" vertical="center"/>
    </xf>
    <xf numFmtId="165" fontId="8" fillId="8" borderId="2" applyAlignment="1" pivotButton="0" quotePrefix="0" xfId="0">
      <alignment horizontal="center" vertical="center"/>
    </xf>
    <xf numFmtId="165" fontId="8" fillId="14" borderId="2" applyAlignment="1" pivotButton="0" quotePrefix="0" xfId="0">
      <alignment horizontal="center" vertical="center"/>
    </xf>
    <xf numFmtId="165" fontId="8" fillId="15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1" fontId="8" fillId="5" borderId="2" applyAlignment="1" pivotButton="0" quotePrefix="0" xfId="0">
      <alignment horizontal="center" vertical="center"/>
    </xf>
    <xf numFmtId="1" fontId="8" fillId="9" borderId="2" applyAlignment="1" pivotButton="0" quotePrefix="0" xfId="0">
      <alignment horizontal="center" vertical="center"/>
    </xf>
    <xf numFmtId="0" fontId="8" fillId="17" borderId="2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17" borderId="2" applyAlignment="1" pivotButton="0" quotePrefix="0" xfId="0">
      <alignment horizontal="center" vertical="center"/>
    </xf>
    <xf numFmtId="0" fontId="7" fillId="18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A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D9E1F2"/>
      <rgbColor rgb="FFFF9999"/>
      <rgbColor rgb="FFE2CEEF"/>
      <rgbColor rgb="FFFFE7CC"/>
      <rgbColor rgb="FF2E75B6"/>
      <rgbColor rgb="FF33CCCC"/>
      <rgbColor rgb="FF99CC00"/>
      <rgbColor rgb="FFFCE4D6"/>
      <rgbColor rgb="FFFF9900"/>
      <rgbColor rgb="FFFF6600"/>
      <rgbColor rgb="FF41719C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77" min="1" max="1"/>
    <col width="52" customWidth="1" style="77" min="2" max="2"/>
    <col width="28" customWidth="1" style="77" min="3" max="3"/>
    <col width="58" customWidth="1" style="77" min="4" max="4"/>
    <col width="2" customWidth="1" style="77" min="5" max="8"/>
  </cols>
  <sheetData>
    <row r="1" ht="49.5" customHeight="1" s="78">
      <c r="A1" s="79" t="inlineStr">
        <is>
          <t>🔋  UAV Battery Analysis &amp; Simulation Toolset  —  Database v1.0</t>
        </is>
      </c>
      <c r="B1" s="80" t="n"/>
      <c r="C1" s="80" t="n"/>
      <c r="D1" s="80" t="n"/>
      <c r="E1" s="80" t="n"/>
      <c r="F1" s="80" t="n"/>
      <c r="G1" s="80" t="n"/>
      <c r="H1" s="80" t="n"/>
    </row>
    <row r="2" ht="21.75" customHeight="1" s="78">
      <c r="A2" s="81" t="inlineStr">
        <is>
          <t>Master battery database | Supports: LiPo · Li-Ion · LiFePO₄ · Semi-Solid-State · Solid-State · NiMH | Custom pack builder included</t>
        </is>
      </c>
      <c r="B2" s="80" t="n"/>
      <c r="C2" s="80" t="n"/>
      <c r="D2" s="80" t="n"/>
      <c r="E2" s="80" t="n"/>
      <c r="F2" s="80" t="n"/>
      <c r="G2" s="80" t="n"/>
      <c r="H2" s="80" t="n"/>
    </row>
    <row r="4" ht="19.5" customHeight="1" s="78">
      <c r="A4" s="82" t="inlineStr">
        <is>
          <t>📋  Sheet Guide</t>
        </is>
      </c>
    </row>
    <row r="5" ht="18" customHeight="1" s="78">
      <c r="A5" s="83" t="inlineStr">
        <is>
          <t>Sheet</t>
        </is>
      </c>
      <c r="B5" s="83" t="inlineStr">
        <is>
          <t>Purpose</t>
        </is>
      </c>
      <c r="C5" s="83" t="inlineStr">
        <is>
          <t>Editable?</t>
        </is>
      </c>
      <c r="D5" s="83" t="inlineStr">
        <is>
          <t>Key Columns</t>
        </is>
      </c>
    </row>
    <row r="6" ht="30" customHeight="1" s="78">
      <c r="A6" s="84" t="inlineStr">
        <is>
          <t>Chemistry_Library</t>
        </is>
      </c>
      <c r="B6" s="85" t="inlineStr">
        <is>
          <t>Battery chemistry types with electrochemical properties</t>
        </is>
      </c>
      <c r="C6" s="85" t="inlineStr">
        <is>
          <t>Yes – add new chemistries</t>
        </is>
      </c>
      <c r="D6" s="86" t="inlineStr">
        <is>
          <t>Chem_ID, Nom_Voltage, Energy_Density_Wh_kg, Cycle_Life …</t>
        </is>
      </c>
    </row>
    <row r="7" ht="30" customHeight="1" s="78">
      <c r="A7" s="87" t="inlineStr">
        <is>
          <t>Cell_Catalog</t>
        </is>
      </c>
      <c r="B7" s="88" t="inlineStr">
        <is>
          <t>Individual cell specifications (commercial + reference cells)</t>
        </is>
      </c>
      <c r="C7" s="88" t="inlineStr">
        <is>
          <t>Yes – add cells</t>
        </is>
      </c>
      <c r="D7" s="89" t="inlineStr">
        <is>
          <t>Cell_ID, Chemistry, Capacity_Ah, Voltage_Nom, Weight_g …</t>
        </is>
      </c>
    </row>
    <row r="8" ht="30" customHeight="1" s="78">
      <c r="A8" s="84" t="inlineStr">
        <is>
          <t>Battery_Catalog</t>
        </is>
      </c>
      <c r="B8" s="85" t="inlineStr">
        <is>
          <t>Complete battery packs ready for UAV selection</t>
        </is>
      </c>
      <c r="C8" s="85" t="inlineStr">
        <is>
          <t>Yes – add packs</t>
        </is>
      </c>
      <c r="D8" s="86" t="inlineStr">
        <is>
          <t>Battery_ID, Cells_Series, Cells_Parallel, Pack_Voltage …</t>
        </is>
      </c>
    </row>
    <row r="9" ht="30" customHeight="1" s="78">
      <c r="A9" s="87" t="inlineStr">
        <is>
          <t>Discharge_Profiles</t>
        </is>
      </c>
      <c r="B9" s="88" t="inlineStr">
        <is>
          <t>C-rate vs voltage discharge curve data per chemistry</t>
        </is>
      </c>
      <c r="C9" s="88" t="inlineStr">
        <is>
          <t>Yes – add data points</t>
        </is>
      </c>
      <c r="D9" s="89" t="inlineStr">
        <is>
          <t>Chem_ID, C_Rate, SoC_%, Voltage_V, Temp_degC …</t>
        </is>
      </c>
    </row>
    <row r="10" ht="30" customHeight="1" s="78">
      <c r="A10" s="84" t="inlineStr">
        <is>
          <t>Custom_Cell</t>
        </is>
      </c>
      <c r="B10" s="85" t="inlineStr">
        <is>
          <t>Define a single custom cell from first principles</t>
        </is>
      </c>
      <c r="C10" s="85" t="inlineStr">
        <is>
          <t>Yes – fill yellow cells</t>
        </is>
      </c>
      <c r="D10" s="86" t="inlineStr">
        <is>
          <t>Input specs → calculated outputs</t>
        </is>
      </c>
    </row>
    <row r="11" ht="30" customHeight="1" s="78">
      <c r="A11" s="87" t="inlineStr">
        <is>
          <t>Custom_Pack_Builder</t>
        </is>
      </c>
      <c r="B11" s="88" t="inlineStr">
        <is>
          <t>Configure a custom pack from a cell (catalog or custom)</t>
        </is>
      </c>
      <c r="C11" s="88" t="inlineStr">
        <is>
          <t>Yes – fill yellow cells</t>
        </is>
      </c>
      <c r="D11" s="89" t="inlineStr">
        <is>
          <t>Cell selection, S×P configuration → pack outputs</t>
        </is>
      </c>
    </row>
    <row r="14" ht="15" customHeight="1" s="78">
      <c r="A14" s="90" t="inlineStr">
        <is>
          <t>🎨  Colour Convention</t>
        </is>
      </c>
      <c r="B14" s="80" t="n"/>
      <c r="C14" s="80" t="n"/>
      <c r="D14" s="80" t="n"/>
      <c r="E14" s="80" t="n"/>
      <c r="F14" s="80" t="n"/>
      <c r="G14" s="80" t="n"/>
      <c r="H14" s="80" t="n"/>
    </row>
    <row r="15" ht="18" customHeight="1" s="78">
      <c r="A15" s="91" t="inlineStr">
        <is>
          <t xml:space="preserve">  Blue text on yellow</t>
        </is>
      </c>
      <c r="B15" s="92" t="inlineStr">
        <is>
          <t>User input cell — enter your values here</t>
        </is>
      </c>
    </row>
    <row r="16" ht="18" customHeight="1" s="78">
      <c r="A16" s="93" t="inlineStr">
        <is>
          <t xml:space="preserve">  Black text on green</t>
        </is>
      </c>
      <c r="B16" s="92" t="inlineStr">
        <is>
          <t>Calculated / formula cell — do not overwrite</t>
        </is>
      </c>
    </row>
    <row r="17" ht="18" customHeight="1" s="78">
      <c r="A17" s="94" t="inlineStr">
        <is>
          <t xml:space="preserve">  Bold on light blue</t>
        </is>
      </c>
      <c r="B17" s="92" t="inlineStr">
        <is>
          <t>Section label or field name</t>
        </is>
      </c>
    </row>
    <row r="18" ht="18" customHeight="1" s="78">
      <c r="A18" s="95" t="inlineStr">
        <is>
          <t xml:space="preserve">  Normal on grey</t>
        </is>
      </c>
      <c r="B18" s="92" t="inlineStr">
        <is>
          <t>Reference / read-only data</t>
        </is>
      </c>
    </row>
    <row r="19" ht="18" customHeight="1" s="78">
      <c r="A19" s="96" t="inlineStr">
        <is>
          <t xml:space="preserve">  LiPo colour</t>
        </is>
      </c>
      <c r="B19" s="92" t="inlineStr">
        <is>
          <t>LiPo chemistry highlight</t>
        </is>
      </c>
    </row>
    <row r="20" ht="18" customHeight="1" s="78">
      <c r="A20" s="97" t="inlineStr">
        <is>
          <t xml:space="preserve">  Li-Ion colour</t>
        </is>
      </c>
      <c r="B20" s="92" t="inlineStr">
        <is>
          <t>Li-Ion chemistry highlight</t>
        </is>
      </c>
    </row>
    <row r="21" ht="18" customHeight="1" s="78">
      <c r="A21" s="94" t="inlineStr">
        <is>
          <t xml:space="preserve">  LiFePO₄ colour</t>
        </is>
      </c>
      <c r="B21" s="92" t="inlineStr">
        <is>
          <t>LiFePO₄ chemistry highlight</t>
        </is>
      </c>
    </row>
    <row r="22" ht="18" customHeight="1" s="78">
      <c r="A22" s="98" t="inlineStr">
        <is>
          <t xml:space="preserve">  Semi-Solid-State</t>
        </is>
      </c>
      <c r="B22" s="92" t="inlineStr">
        <is>
          <t>Semi-Solid-State chemistry highlight</t>
        </is>
      </c>
    </row>
  </sheetData>
  <mergeCells count="11">
    <mergeCell ref="B22:H22"/>
    <mergeCell ref="B17:H17"/>
    <mergeCell ref="B18:H18"/>
    <mergeCell ref="B21:H21"/>
    <mergeCell ref="A2:H2"/>
    <mergeCell ref="B16:H16"/>
    <mergeCell ref="A14:H14"/>
    <mergeCell ref="B15:H15"/>
    <mergeCell ref="A1:H1"/>
    <mergeCell ref="B19:H19"/>
    <mergeCell ref="B20:H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77" min="1" max="1"/>
    <col width="32" customWidth="1" style="77" min="2" max="2"/>
    <col width="8" customWidth="1" style="77" min="3" max="3"/>
    <col width="9" customWidth="1" style="77" min="4" max="4"/>
    <col width="8" customWidth="1" style="77" min="5" max="7"/>
    <col width="10" customWidth="1" style="77" min="8" max="8"/>
    <col width="8" customWidth="1" style="77" min="9" max="9"/>
    <col width="7" customWidth="1" style="77" min="10" max="11"/>
    <col width="11" customWidth="1" style="77" min="12" max="12"/>
    <col width="10" customWidth="1" style="77" min="13" max="14"/>
    <col width="11" customWidth="1" style="77" min="15" max="15"/>
    <col width="9" customWidth="1" style="77" min="16" max="17"/>
    <col width="48" customWidth="1" style="77" min="18" max="18"/>
  </cols>
  <sheetData>
    <row r="1" ht="36" customHeight="1" s="78">
      <c r="A1" s="99" t="inlineStr">
        <is>
          <t>⚗️  Battery Chemistry Library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</row>
    <row r="2" ht="42" customHeight="1" s="78">
      <c r="A2" s="100" t="inlineStr">
        <is>
          <t>ID</t>
        </is>
      </c>
      <c r="B2" s="100" t="inlineStr">
        <is>
          <t>Chemistry Name</t>
        </is>
      </c>
      <c r="C2" s="100" t="inlineStr">
        <is>
          <t>Short Code</t>
        </is>
      </c>
      <c r="D2" s="101" t="inlineStr">
        <is>
          <t>Voltage (V)</t>
        </is>
      </c>
      <c r="E2" s="80" t="n"/>
      <c r="F2" s="101" t="inlineStr">
        <is>
          <t>Energy Density</t>
        </is>
      </c>
      <c r="G2" s="80" t="n"/>
      <c r="H2" s="100" t="inlineStr">
        <is>
          <t>Specific Power
(W/kg)</t>
        </is>
      </c>
      <c r="I2" s="100" t="inlineStr">
        <is>
          <t>Cycle Life
(cycles)</t>
        </is>
      </c>
      <c r="J2" s="101" t="inlineStr">
        <is>
          <t>Temperature Range (°C)</t>
        </is>
      </c>
      <c r="K2" s="80" t="n"/>
      <c r="L2" s="100" t="inlineStr">
        <is>
          <t>Self-Discharge
(%/month)</t>
        </is>
      </c>
      <c r="M2" s="100" t="inlineStr">
        <is>
          <t>Max Cont.
Discharge (C)</t>
        </is>
      </c>
      <c r="N2" s="100" t="inlineStr">
        <is>
          <t>Max Pulse
Discharge (C)</t>
        </is>
      </c>
      <c r="O2" s="100" t="inlineStr">
        <is>
          <t>Charge
Efficiency (%)</t>
        </is>
      </c>
      <c r="P2" s="100" t="inlineStr">
        <is>
          <t>Safety
Rating</t>
        </is>
      </c>
      <c r="Q2" s="100" t="inlineStr">
        <is>
          <t>Relative
Cost</t>
        </is>
      </c>
      <c r="R2" s="100" t="inlineStr">
        <is>
          <t>Notes / UAV Suitability</t>
        </is>
      </c>
    </row>
    <row r="3" ht="18" customHeight="1" s="78">
      <c r="A3" s="102" t="n"/>
      <c r="B3" s="102" t="n"/>
      <c r="C3" s="102" t="n"/>
      <c r="D3" s="102" t="inlineStr">
        <is>
          <t>Nominal</t>
        </is>
      </c>
      <c r="E3" s="102" t="inlineStr">
        <is>
          <t>Cutoff</t>
        </is>
      </c>
      <c r="F3" s="102" t="inlineStr">
        <is>
          <t>Wh/kg</t>
        </is>
      </c>
      <c r="G3" s="102" t="inlineStr">
        <is>
          <t>Wh/L</t>
        </is>
      </c>
      <c r="H3" s="102" t="n"/>
      <c r="I3" s="102" t="n"/>
      <c r="J3" s="102" t="inlineStr">
        <is>
          <t>Min</t>
        </is>
      </c>
      <c r="K3" s="102" t="inlineStr">
        <is>
          <t>Max</t>
        </is>
      </c>
      <c r="L3" s="102" t="n"/>
      <c r="M3" s="102" t="n"/>
      <c r="N3" s="102" t="n"/>
      <c r="O3" s="102" t="n"/>
      <c r="P3" s="102" t="n"/>
      <c r="Q3" s="102" t="n"/>
      <c r="R3" s="102" t="n"/>
    </row>
    <row r="4" ht="24" customHeight="1" s="78">
      <c r="A4" s="103" t="inlineStr">
        <is>
          <t>LIPO</t>
        </is>
      </c>
      <c r="B4" s="96" t="inlineStr">
        <is>
          <t>Lithium Polymer</t>
        </is>
      </c>
      <c r="C4" s="96" t="inlineStr">
        <is>
          <t>LiPo</t>
        </is>
      </c>
      <c r="D4" s="96" t="n">
        <v>3.7</v>
      </c>
      <c r="E4" s="96" t="n">
        <v>3</v>
      </c>
      <c r="F4" s="96" t="n">
        <v>200</v>
      </c>
      <c r="G4" s="96" t="n">
        <v>400</v>
      </c>
      <c r="H4" s="96" t="n">
        <v>700</v>
      </c>
      <c r="I4" s="96" t="n">
        <v>500</v>
      </c>
      <c r="J4" s="96" t="n">
        <v>-20</v>
      </c>
      <c r="K4" s="96" t="n">
        <v>60</v>
      </c>
      <c r="L4" s="96" t="n">
        <v>2</v>
      </c>
      <c r="M4" s="96" t="n">
        <v>30</v>
      </c>
      <c r="N4" s="96" t="n">
        <v>100</v>
      </c>
      <c r="O4" s="96" t="n">
        <v>99.5</v>
      </c>
      <c r="P4" s="96" t="inlineStr">
        <is>
          <t>Medium</t>
        </is>
      </c>
      <c r="Q4" s="96" t="inlineStr">
        <is>
          <t>Low</t>
        </is>
      </c>
      <c r="R4" s="104" t="inlineStr">
        <is>
          <t>High power density; dominant UAV choice; fire risk if damaged</t>
        </is>
      </c>
    </row>
    <row r="5" ht="24" customHeight="1" s="78">
      <c r="A5" s="105" t="inlineStr">
        <is>
          <t>LION</t>
        </is>
      </c>
      <c r="B5" s="97" t="inlineStr">
        <is>
          <t>Lithium Ion (NMC)</t>
        </is>
      </c>
      <c r="C5" s="97" t="inlineStr">
        <is>
          <t>Li-Ion</t>
        </is>
      </c>
      <c r="D5" s="97" t="n">
        <v>3.6</v>
      </c>
      <c r="E5" s="97" t="n">
        <v>3</v>
      </c>
      <c r="F5" s="97" t="n">
        <v>250</v>
      </c>
      <c r="G5" s="97" t="n">
        <v>620</v>
      </c>
      <c r="H5" s="97" t="n">
        <v>500</v>
      </c>
      <c r="I5" s="97" t="n">
        <v>1000</v>
      </c>
      <c r="J5" s="97" t="n">
        <v>-20</v>
      </c>
      <c r="K5" s="97" t="n">
        <v>60</v>
      </c>
      <c r="L5" s="97" t="n">
        <v>2</v>
      </c>
      <c r="M5" s="97" t="n">
        <v>10</v>
      </c>
      <c r="N5" s="97" t="n">
        <v>35</v>
      </c>
      <c r="O5" s="97" t="n">
        <v>99.5</v>
      </c>
      <c r="P5" s="97" t="inlineStr">
        <is>
          <t>Medium</t>
        </is>
      </c>
      <c r="Q5" s="97" t="inlineStr">
        <is>
          <t>Low</t>
        </is>
      </c>
      <c r="R5" s="106" t="inlineStr">
        <is>
          <t>Higher energy density than LiPo; heavier; laptop/EV cells</t>
        </is>
      </c>
    </row>
    <row r="6" ht="24" customHeight="1" s="78">
      <c r="A6" s="87" t="inlineStr">
        <is>
          <t>LION21</t>
        </is>
      </c>
      <c r="B6" s="88" t="inlineStr">
        <is>
          <t>Lithium Ion 21700 (NMC)</t>
        </is>
      </c>
      <c r="C6" s="88" t="inlineStr">
        <is>
          <t>Li-Ion</t>
        </is>
      </c>
      <c r="D6" s="88" t="n">
        <v>3.65</v>
      </c>
      <c r="E6" s="88" t="n">
        <v>3</v>
      </c>
      <c r="F6" s="88" t="n">
        <v>260</v>
      </c>
      <c r="G6" s="88" t="n">
        <v>650</v>
      </c>
      <c r="H6" s="88" t="n">
        <v>500</v>
      </c>
      <c r="I6" s="88" t="n">
        <v>2000</v>
      </c>
      <c r="J6" s="88" t="n">
        <v>-20</v>
      </c>
      <c r="K6" s="88" t="n">
        <v>60</v>
      </c>
      <c r="L6" s="88" t="n">
        <v>2</v>
      </c>
      <c r="M6" s="88" t="n">
        <v>10</v>
      </c>
      <c r="N6" s="88" t="n">
        <v>30</v>
      </c>
      <c r="O6" s="88" t="n">
        <v>99.5</v>
      </c>
      <c r="P6" s="88" t="inlineStr">
        <is>
          <t>Medium</t>
        </is>
      </c>
      <c r="Q6" s="88" t="inlineStr">
        <is>
          <t>Low</t>
        </is>
      </c>
      <c r="R6" s="89" t="inlineStr">
        <is>
          <t>High capacity 21700 format; excellent energy/volume ratio</t>
        </is>
      </c>
    </row>
    <row r="7" ht="24" customHeight="1" s="78">
      <c r="A7" s="107" t="inlineStr">
        <is>
          <t>LIFEPO4</t>
        </is>
      </c>
      <c r="B7" s="94" t="inlineStr">
        <is>
          <t>Lithium Iron Phosphate</t>
        </is>
      </c>
      <c r="C7" s="94" t="inlineStr">
        <is>
          <t>LFP</t>
        </is>
      </c>
      <c r="D7" s="94" t="n">
        <v>3.2</v>
      </c>
      <c r="E7" s="94" t="n">
        <v>2.5</v>
      </c>
      <c r="F7" s="94" t="n">
        <v>120</v>
      </c>
      <c r="G7" s="94" t="n">
        <v>250</v>
      </c>
      <c r="H7" s="94" t="n">
        <v>400</v>
      </c>
      <c r="I7" s="94" t="n">
        <v>3000</v>
      </c>
      <c r="J7" s="94" t="n">
        <v>-20</v>
      </c>
      <c r="K7" s="94" t="n">
        <v>60</v>
      </c>
      <c r="L7" s="94" t="n">
        <v>1</v>
      </c>
      <c r="M7" s="94" t="n">
        <v>5</v>
      </c>
      <c r="N7" s="94" t="n">
        <v>30</v>
      </c>
      <c r="O7" s="94" t="n">
        <v>99.8</v>
      </c>
      <c r="P7" s="94" t="inlineStr">
        <is>
          <t>High</t>
        </is>
      </c>
      <c r="Q7" s="94" t="inlineStr">
        <is>
          <t>Medium</t>
        </is>
      </c>
      <c r="R7" s="108" t="inlineStr">
        <is>
          <t>Excellent thermal stability; heavy; long cycle life; agriculture UAVs</t>
        </is>
      </c>
    </row>
    <row r="8" ht="24" customHeight="1" s="78">
      <c r="A8" s="87" t="inlineStr">
        <is>
          <t>LITO</t>
        </is>
      </c>
      <c r="B8" s="88" t="inlineStr">
        <is>
          <t>Lithium Titanate</t>
        </is>
      </c>
      <c r="C8" s="88" t="inlineStr">
        <is>
          <t>LTO</t>
        </is>
      </c>
      <c r="D8" s="88" t="n">
        <v>2.4</v>
      </c>
      <c r="E8" s="88" t="n">
        <v>1.8</v>
      </c>
      <c r="F8" s="88" t="n">
        <v>80</v>
      </c>
      <c r="G8" s="88" t="n">
        <v>160</v>
      </c>
      <c r="H8" s="88" t="n">
        <v>900</v>
      </c>
      <c r="I8" s="88" t="n">
        <v>20000</v>
      </c>
      <c r="J8" s="88" t="n">
        <v>-40</v>
      </c>
      <c r="K8" s="88" t="n">
        <v>65</v>
      </c>
      <c r="L8" s="88" t="n">
        <v>1</v>
      </c>
      <c r="M8" s="88" t="n">
        <v>10</v>
      </c>
      <c r="N8" s="88" t="n">
        <v>50</v>
      </c>
      <c r="O8" s="88" t="n">
        <v>98</v>
      </c>
      <c r="P8" s="88" t="inlineStr">
        <is>
          <t>Very High</t>
        </is>
      </c>
      <c r="Q8" s="88" t="inlineStr">
        <is>
          <t>High</t>
        </is>
      </c>
      <c r="R8" s="89" t="inlineStr">
        <is>
          <t>Extreme cycle life; fast charge; low energy — range limited</t>
        </is>
      </c>
    </row>
    <row r="9" ht="24" customHeight="1" s="78">
      <c r="A9" s="109" t="inlineStr">
        <is>
          <t>SSS</t>
        </is>
      </c>
      <c r="B9" s="98" t="inlineStr">
        <is>
          <t>Semi-Solid State (Li-Ion based)</t>
        </is>
      </c>
      <c r="C9" s="98" t="inlineStr">
        <is>
          <t>SSS</t>
        </is>
      </c>
      <c r="D9" s="98" t="n">
        <v>3.7</v>
      </c>
      <c r="E9" s="98" t="n">
        <v>3</v>
      </c>
      <c r="F9" s="98" t="n">
        <v>350</v>
      </c>
      <c r="G9" s="98" t="n">
        <v>800</v>
      </c>
      <c r="H9" s="98" t="n">
        <v>600</v>
      </c>
      <c r="I9" s="98" t="n">
        <v>1000</v>
      </c>
      <c r="J9" s="98" t="n">
        <v>-20</v>
      </c>
      <c r="K9" s="98" t="n">
        <v>80</v>
      </c>
      <c r="L9" s="98" t="n">
        <v>1</v>
      </c>
      <c r="M9" s="98" t="n">
        <v>15</v>
      </c>
      <c r="N9" s="98" t="n">
        <v>50</v>
      </c>
      <c r="O9" s="98" t="n">
        <v>99.59999999999999</v>
      </c>
      <c r="P9" s="98" t="inlineStr">
        <is>
          <t>High</t>
        </is>
      </c>
      <c r="Q9" s="98" t="inlineStr">
        <is>
          <t>High</t>
        </is>
      </c>
      <c r="R9" s="110" t="inlineStr">
        <is>
          <t>Emerging; reduced electrolyte; improved safety; higher density</t>
        </is>
      </c>
    </row>
    <row r="10" ht="24" customHeight="1" s="78">
      <c r="A10" s="111" t="inlineStr">
        <is>
          <t>SOLID</t>
        </is>
      </c>
      <c r="B10" s="112" t="inlineStr">
        <is>
          <t>All-Solid-State</t>
        </is>
      </c>
      <c r="C10" s="112" t="inlineStr">
        <is>
          <t>SSB</t>
        </is>
      </c>
      <c r="D10" s="112" t="n">
        <v>3.8</v>
      </c>
      <c r="E10" s="112" t="n">
        <v>3</v>
      </c>
      <c r="F10" s="112" t="n">
        <v>400</v>
      </c>
      <c r="G10" s="112" t="n">
        <v>900</v>
      </c>
      <c r="H10" s="112" t="n">
        <v>700</v>
      </c>
      <c r="I10" s="112" t="n">
        <v>2000</v>
      </c>
      <c r="J10" s="112" t="n">
        <v>-20</v>
      </c>
      <c r="K10" s="112" t="n">
        <v>100</v>
      </c>
      <c r="L10" s="112" t="n">
        <v>0</v>
      </c>
      <c r="M10" s="112" t="n">
        <v>10</v>
      </c>
      <c r="N10" s="112" t="n">
        <v>30</v>
      </c>
      <c r="O10" s="112" t="n">
        <v>99.8</v>
      </c>
      <c r="P10" s="112" t="inlineStr">
        <is>
          <t>Very High</t>
        </is>
      </c>
      <c r="Q10" s="112" t="inlineStr">
        <is>
          <t>Very High</t>
        </is>
      </c>
      <c r="R10" s="113" t="inlineStr">
        <is>
          <t>Pre-production; highest density; no liquid electrolyte; safe</t>
        </is>
      </c>
    </row>
    <row r="11" ht="24" customHeight="1" s="78">
      <c r="A11" s="114" t="inlineStr">
        <is>
          <t>NIMH</t>
        </is>
      </c>
      <c r="B11" s="115" t="inlineStr">
        <is>
          <t>Nickel Metal Hydride</t>
        </is>
      </c>
      <c r="C11" s="115" t="inlineStr">
        <is>
          <t>NiMH</t>
        </is>
      </c>
      <c r="D11" s="115" t="n">
        <v>1.2</v>
      </c>
      <c r="E11" s="115" t="n">
        <v>0.9</v>
      </c>
      <c r="F11" s="115" t="n">
        <v>100</v>
      </c>
      <c r="G11" s="115" t="n">
        <v>300</v>
      </c>
      <c r="H11" s="115" t="n">
        <v>200</v>
      </c>
      <c r="I11" s="115" t="n">
        <v>500</v>
      </c>
      <c r="J11" s="115" t="n">
        <v>-20</v>
      </c>
      <c r="K11" s="115" t="n">
        <v>60</v>
      </c>
      <c r="L11" s="115" t="n">
        <v>30</v>
      </c>
      <c r="M11" s="115" t="n">
        <v>5</v>
      </c>
      <c r="N11" s="115" t="n">
        <v>15</v>
      </c>
      <c r="O11" s="115" t="n">
        <v>85</v>
      </c>
      <c r="P11" s="115" t="inlineStr">
        <is>
          <t>High</t>
        </is>
      </c>
      <c r="Q11" s="115" t="inlineStr">
        <is>
          <t>Medium</t>
        </is>
      </c>
      <c r="R11" s="116" t="inlineStr">
        <is>
          <t>Legacy; low specific energy; robust; not common in modern UAVs</t>
        </is>
      </c>
    </row>
    <row r="12" ht="24" customHeight="1" s="78">
      <c r="A12" s="87" t="inlineStr">
        <is>
          <t>LIHV</t>
        </is>
      </c>
      <c r="B12" s="88" t="inlineStr">
        <is>
          <t>High-Voltage LiPo (LiHV)</t>
        </is>
      </c>
      <c r="C12" s="88" t="inlineStr">
        <is>
          <t>LiHV</t>
        </is>
      </c>
      <c r="D12" s="88" t="n">
        <v>3.8</v>
      </c>
      <c r="E12" s="88" t="n">
        <v>3</v>
      </c>
      <c r="F12" s="88" t="n">
        <v>220</v>
      </c>
      <c r="G12" s="88" t="n">
        <v>440</v>
      </c>
      <c r="H12" s="88" t="n">
        <v>750</v>
      </c>
      <c r="I12" s="88" t="n">
        <v>300</v>
      </c>
      <c r="J12" s="88" t="n">
        <v>-10</v>
      </c>
      <c r="K12" s="88" t="n">
        <v>60</v>
      </c>
      <c r="L12" s="88" t="n">
        <v>2</v>
      </c>
      <c r="M12" s="88" t="n">
        <v>25</v>
      </c>
      <c r="N12" s="88" t="n">
        <v>80</v>
      </c>
      <c r="O12" s="88" t="n">
        <v>99.5</v>
      </c>
      <c r="P12" s="88" t="inlineStr">
        <is>
          <t>Medium</t>
        </is>
      </c>
      <c r="Q12" s="88" t="inlineStr">
        <is>
          <t>Low</t>
        </is>
      </c>
      <c r="R12" s="89" t="inlineStr">
        <is>
          <t>Higher nominal voltage vs standard LiPo; popular in racing UAVs</t>
        </is>
      </c>
    </row>
  </sheetData>
  <mergeCells count="4">
    <mergeCell ref="F2:G2"/>
    <mergeCell ref="J2:K2"/>
    <mergeCell ref="A1:R1"/>
    <mergeCell ref="D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77" min="1" max="1"/>
    <col width="16" customWidth="1" style="77" min="2" max="2"/>
    <col width="22" customWidth="1" style="77" min="3" max="3"/>
    <col width="10" customWidth="1" style="77" min="4" max="4"/>
    <col width="12" customWidth="1" style="77" min="5" max="5"/>
    <col width="10" customWidth="1" style="77" min="6" max="9"/>
    <col width="8" customWidth="1" style="77" min="10" max="11"/>
    <col width="12" customWidth="1" style="77" min="12" max="12"/>
    <col width="8" customWidth="1" style="77" min="13" max="13"/>
    <col width="11" customWidth="1" style="77" min="14" max="16"/>
    <col width="10" customWidth="1" style="77" min="17" max="17"/>
    <col width="13" customWidth="1" style="77" min="18" max="18"/>
    <col width="10" customWidth="1" style="77" min="19" max="19"/>
    <col width="44" customWidth="1" style="77" min="20" max="20"/>
  </cols>
  <sheetData>
    <row r="1" ht="36" customHeight="1" s="78">
      <c r="A1" s="99" t="inlineStr">
        <is>
          <t>🔬  Individual Cell Catalog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</row>
    <row r="2" ht="43.5" customHeight="1" s="78">
      <c r="A2" s="100" t="inlineStr">
        <is>
          <t>Cell_ID</t>
        </is>
      </c>
      <c r="B2" s="100" t="inlineStr">
        <is>
          <t>Manufacturer</t>
        </is>
      </c>
      <c r="C2" s="100" t="inlineStr">
        <is>
          <t>Model / Part No.</t>
        </is>
      </c>
      <c r="D2" s="100" t="inlineStr">
        <is>
          <t>Chemistry
(Chem_ID)</t>
        </is>
      </c>
      <c r="E2" s="100" t="inlineStr">
        <is>
          <t>Cell Format</t>
        </is>
      </c>
      <c r="F2" s="100" t="inlineStr">
        <is>
          <t>Nominal
Voltage (V)</t>
        </is>
      </c>
      <c r="G2" s="100" t="inlineStr">
        <is>
          <t>Max Charge
Voltage (V)</t>
        </is>
      </c>
      <c r="H2" s="100" t="inlineStr">
        <is>
          <t>Cutoff
Voltage (V)</t>
        </is>
      </c>
      <c r="I2" s="100" t="inlineStr">
        <is>
          <t>Nominal
Capacity (Ah)</t>
        </is>
      </c>
      <c r="J2" s="100" t="inlineStr">
        <is>
          <t>Energy
(Wh)</t>
        </is>
      </c>
      <c r="K2" s="100" t="inlineStr">
        <is>
          <t>Weight
(g)</t>
        </is>
      </c>
      <c r="L2" s="100" t="inlineStr">
        <is>
          <t>Specific Energy
(Wh/kg)</t>
        </is>
      </c>
      <c r="M2" s="100" t="inlineStr">
        <is>
          <t>Volume
(cm³)</t>
        </is>
      </c>
      <c r="N2" s="100" t="inlineStr">
        <is>
          <t>Energy Density
(Wh/L)</t>
        </is>
      </c>
      <c r="O2" s="100" t="inlineStr">
        <is>
          <t>Max Cont.
Discharge (A)</t>
        </is>
      </c>
      <c r="P2" s="100" t="inlineStr">
        <is>
          <t>Max Pulse
Discharge (A)</t>
        </is>
      </c>
      <c r="Q2" s="100" t="inlineStr">
        <is>
          <t>Max Charge
Rate (C)</t>
        </is>
      </c>
      <c r="R2" s="100" t="inlineStr">
        <is>
          <t>Internal
Resistance (mΩ)</t>
        </is>
      </c>
      <c r="S2" s="100" t="inlineStr">
        <is>
          <t>Cycle Life
(cycles)</t>
        </is>
      </c>
      <c r="T2" s="100" t="inlineStr">
        <is>
          <t>Notes</t>
        </is>
      </c>
    </row>
    <row r="3" ht="21.75" customHeight="1" s="78">
      <c r="A3" s="117" t="inlineStr">
        <is>
          <t>TATTU_1300_4S</t>
        </is>
      </c>
      <c r="B3" s="95" t="inlineStr">
        <is>
          <t>Tattu</t>
        </is>
      </c>
      <c r="C3" s="95" t="inlineStr">
        <is>
          <t>Tattu 1300 4S</t>
        </is>
      </c>
      <c r="D3" s="95" t="inlineStr">
        <is>
          <t>LIPO</t>
        </is>
      </c>
      <c r="E3" s="95" t="inlineStr">
        <is>
          <t>Pouch</t>
        </is>
      </c>
      <c r="F3" s="118" t="n">
        <v>14.8</v>
      </c>
      <c r="G3" s="118" t="n">
        <v>16.8</v>
      </c>
      <c r="H3" s="118" t="n">
        <v>12</v>
      </c>
      <c r="I3" s="118" t="n">
        <v>1.3</v>
      </c>
      <c r="J3" s="118" t="n">
        <v>19.2</v>
      </c>
      <c r="K3" s="118" t="n">
        <v>128</v>
      </c>
      <c r="L3" s="118" t="n">
        <v>150</v>
      </c>
      <c r="M3" s="118" t="n">
        <v>48</v>
      </c>
      <c r="N3" s="118" t="n">
        <v>400</v>
      </c>
      <c r="O3" s="118" t="n">
        <v>65</v>
      </c>
      <c r="P3" s="118" t="n">
        <v>130</v>
      </c>
      <c r="Q3" s="95" t="n">
        <v>1</v>
      </c>
      <c r="R3" s="95" t="n">
        <v>15</v>
      </c>
      <c r="S3" s="95" t="n">
        <v>300</v>
      </c>
      <c r="T3" s="119" t="inlineStr">
        <is>
          <t>Popular FPV/racing pack cell equivalent</t>
        </is>
      </c>
    </row>
    <row r="4" ht="21.75" customHeight="1" s="78">
      <c r="A4" s="87" t="inlineStr">
        <is>
          <t>GAONENG_550</t>
        </is>
      </c>
      <c r="B4" s="88" t="inlineStr">
        <is>
          <t>Gaoneng</t>
        </is>
      </c>
      <c r="C4" s="88" t="inlineStr">
        <is>
          <t>GNB 550 HV</t>
        </is>
      </c>
      <c r="D4" s="88" t="inlineStr">
        <is>
          <t>LIHV</t>
        </is>
      </c>
      <c r="E4" s="88" t="inlineStr">
        <is>
          <t>Pouch</t>
        </is>
      </c>
      <c r="F4" s="120" t="n">
        <v>3.85</v>
      </c>
      <c r="G4" s="120" t="n">
        <v>4.35</v>
      </c>
      <c r="H4" s="120" t="n">
        <v>3</v>
      </c>
      <c r="I4" s="120" t="n">
        <v>0.55</v>
      </c>
      <c r="J4" s="120" t="n">
        <v>2.12</v>
      </c>
      <c r="K4" s="120" t="n">
        <v>14</v>
      </c>
      <c r="L4" s="120" t="n">
        <v>151</v>
      </c>
      <c r="M4" s="120" t="n">
        <v>6</v>
      </c>
      <c r="N4" s="120" t="n">
        <v>353</v>
      </c>
      <c r="O4" s="120" t="n">
        <v>5</v>
      </c>
      <c r="P4" s="120" t="n">
        <v>10</v>
      </c>
      <c r="Q4" s="88" t="n">
        <v>2</v>
      </c>
      <c r="R4" s="88" t="n">
        <v>30</v>
      </c>
      <c r="S4" s="88" t="n">
        <v>250</v>
      </c>
      <c r="T4" s="89" t="inlineStr">
        <is>
          <t>Small 1S HV cell for micro UAVs</t>
        </is>
      </c>
    </row>
    <row r="5" ht="21.75" customHeight="1" s="78">
      <c r="A5" s="117" t="inlineStr">
        <is>
          <t>CNHL_5200</t>
        </is>
      </c>
      <c r="B5" s="95" t="inlineStr">
        <is>
          <t>CNHL</t>
        </is>
      </c>
      <c r="C5" s="95" t="inlineStr">
        <is>
          <t>Black Series 5200</t>
        </is>
      </c>
      <c r="D5" s="95" t="inlineStr">
        <is>
          <t>LIPO</t>
        </is>
      </c>
      <c r="E5" s="95" t="inlineStr">
        <is>
          <t>Pouch</t>
        </is>
      </c>
      <c r="F5" s="118" t="n">
        <v>3.7</v>
      </c>
      <c r="G5" s="118" t="n">
        <v>4.2</v>
      </c>
      <c r="H5" s="118" t="n">
        <v>3</v>
      </c>
      <c r="I5" s="118" t="n">
        <v>5.2</v>
      </c>
      <c r="J5" s="118" t="n">
        <v>19.2</v>
      </c>
      <c r="K5" s="118" t="n">
        <v>148</v>
      </c>
      <c r="L5" s="118" t="n">
        <v>130</v>
      </c>
      <c r="M5" s="118" t="n">
        <v>62</v>
      </c>
      <c r="N5" s="118" t="n">
        <v>310</v>
      </c>
      <c r="O5" s="118" t="n">
        <v>52</v>
      </c>
      <c r="P5" s="118" t="n">
        <v>156</v>
      </c>
      <c r="Q5" s="95" t="n">
        <v>1</v>
      </c>
      <c r="R5" s="95" t="n">
        <v>10</v>
      </c>
      <c r="S5" s="95" t="n">
        <v>200</v>
      </c>
      <c r="T5" s="119" t="inlineStr">
        <is>
          <t>High capacity pack; agriculture/long range</t>
        </is>
      </c>
    </row>
    <row r="6" ht="21.75" customHeight="1" s="78">
      <c r="A6" s="105" t="inlineStr">
        <is>
          <t>SAMSUNG_30Q</t>
        </is>
      </c>
      <c r="B6" s="97" t="inlineStr">
        <is>
          <t>Samsung SDI</t>
        </is>
      </c>
      <c r="C6" s="97" t="inlineStr">
        <is>
          <t>INR18650-30Q</t>
        </is>
      </c>
      <c r="D6" s="97" t="inlineStr">
        <is>
          <t>LION</t>
        </is>
      </c>
      <c r="E6" s="97" t="inlineStr">
        <is>
          <t>18650 Cyl</t>
        </is>
      </c>
      <c r="F6" s="121" t="n">
        <v>3.6</v>
      </c>
      <c r="G6" s="121" t="n">
        <v>4.2</v>
      </c>
      <c r="H6" s="121" t="n">
        <v>2.5</v>
      </c>
      <c r="I6" s="121" t="n">
        <v>3</v>
      </c>
      <c r="J6" s="121" t="n">
        <v>10.8</v>
      </c>
      <c r="K6" s="121" t="n">
        <v>48.5</v>
      </c>
      <c r="L6" s="121" t="n">
        <v>223</v>
      </c>
      <c r="M6" s="121" t="n">
        <v>16.5</v>
      </c>
      <c r="N6" s="121" t="n">
        <v>655</v>
      </c>
      <c r="O6" s="121" t="n">
        <v>15</v>
      </c>
      <c r="P6" s="121" t="n">
        <v>20</v>
      </c>
      <c r="Q6" s="97" t="n">
        <v>0.5</v>
      </c>
      <c r="R6" s="97" t="n">
        <v>28</v>
      </c>
      <c r="S6" s="97" t="n">
        <v>500</v>
      </c>
      <c r="T6" s="106" t="inlineStr">
        <is>
          <t>Popular UAV/EV cell; good balance energy/power</t>
        </is>
      </c>
    </row>
    <row r="7" ht="21.75" customHeight="1" s="78">
      <c r="A7" s="117" t="inlineStr">
        <is>
          <t>SAMSUNG_40T</t>
        </is>
      </c>
      <c r="B7" s="95" t="inlineStr">
        <is>
          <t>Samsung SDI</t>
        </is>
      </c>
      <c r="C7" s="95" t="inlineStr">
        <is>
          <t>INR21700-40T</t>
        </is>
      </c>
      <c r="D7" s="95" t="inlineStr">
        <is>
          <t>LION21</t>
        </is>
      </c>
      <c r="E7" s="95" t="inlineStr">
        <is>
          <t>21700 Cyl</t>
        </is>
      </c>
      <c r="F7" s="118" t="n">
        <v>3.65</v>
      </c>
      <c r="G7" s="118" t="n">
        <v>4.2</v>
      </c>
      <c r="H7" s="118" t="n">
        <v>2.5</v>
      </c>
      <c r="I7" s="118" t="n">
        <v>4</v>
      </c>
      <c r="J7" s="118" t="n">
        <v>14.6</v>
      </c>
      <c r="K7" s="118" t="n">
        <v>69</v>
      </c>
      <c r="L7" s="118" t="n">
        <v>211</v>
      </c>
      <c r="M7" s="118" t="n">
        <v>33.8</v>
      </c>
      <c r="N7" s="118" t="n">
        <v>432</v>
      </c>
      <c r="O7" s="118" t="n">
        <v>35</v>
      </c>
      <c r="P7" s="118" t="n">
        <v>45</v>
      </c>
      <c r="Q7" s="95" t="n">
        <v>1</v>
      </c>
      <c r="R7" s="95" t="n">
        <v>18</v>
      </c>
      <c r="S7" s="95" t="n">
        <v>500</v>
      </c>
      <c r="T7" s="119" t="inlineStr">
        <is>
          <t>High drain 21700; excellent for heavy-lift UAVs</t>
        </is>
      </c>
    </row>
    <row r="8" ht="21.75" customHeight="1" s="78">
      <c r="A8" s="87" t="inlineStr">
        <is>
          <t>MOLICEL_P45B</t>
        </is>
      </c>
      <c r="B8" s="88" t="inlineStr">
        <is>
          <t>Molicel</t>
        </is>
      </c>
      <c r="C8" s="88" t="inlineStr">
        <is>
          <t>INR21700-P45B</t>
        </is>
      </c>
      <c r="D8" s="88" t="inlineStr">
        <is>
          <t>LION21</t>
        </is>
      </c>
      <c r="E8" s="88" t="inlineStr">
        <is>
          <t>21700 Cyl</t>
        </is>
      </c>
      <c r="F8" s="120" t="n">
        <v>3.65</v>
      </c>
      <c r="G8" s="120" t="n">
        <v>4.2</v>
      </c>
      <c r="H8" s="120" t="n">
        <v>2.5</v>
      </c>
      <c r="I8" s="120" t="n">
        <v>4.5</v>
      </c>
      <c r="J8" s="120" t="n">
        <v>16.4</v>
      </c>
      <c r="K8" s="120" t="n">
        <v>70</v>
      </c>
      <c r="L8" s="120" t="n">
        <v>234</v>
      </c>
      <c r="M8" s="120" t="n">
        <v>34</v>
      </c>
      <c r="N8" s="120" t="n">
        <v>483</v>
      </c>
      <c r="O8" s="120" t="n">
        <v>45</v>
      </c>
      <c r="P8" s="120" t="n">
        <v>90</v>
      </c>
      <c r="Q8" s="88" t="n">
        <v>1</v>
      </c>
      <c r="R8" s="88" t="n">
        <v>14</v>
      </c>
      <c r="S8" s="88" t="n">
        <v>800</v>
      </c>
      <c r="T8" s="89" t="inlineStr">
        <is>
          <t>High power+capacity; top-tier UAV cell 2024</t>
        </is>
      </c>
    </row>
    <row r="9" ht="21.75" customHeight="1" s="78">
      <c r="A9" s="117" t="inlineStr">
        <is>
          <t>LG_M50LT</t>
        </is>
      </c>
      <c r="B9" s="95" t="inlineStr">
        <is>
          <t>LG Chem</t>
        </is>
      </c>
      <c r="C9" s="95" t="inlineStr">
        <is>
          <t>INR21700-M50LT</t>
        </is>
      </c>
      <c r="D9" s="95" t="inlineStr">
        <is>
          <t>LION21</t>
        </is>
      </c>
      <c r="E9" s="95" t="inlineStr">
        <is>
          <t>21700 Cyl</t>
        </is>
      </c>
      <c r="F9" s="118" t="n">
        <v>3.63</v>
      </c>
      <c r="G9" s="118" t="n">
        <v>4.2</v>
      </c>
      <c r="H9" s="118" t="n">
        <v>2.5</v>
      </c>
      <c r="I9" s="118" t="n">
        <v>5</v>
      </c>
      <c r="J9" s="118" t="n">
        <v>18.2</v>
      </c>
      <c r="K9" s="118" t="n">
        <v>70.5</v>
      </c>
      <c r="L9" s="118" t="n">
        <v>258</v>
      </c>
      <c r="M9" s="118" t="n">
        <v>34.2</v>
      </c>
      <c r="N9" s="118" t="n">
        <v>532</v>
      </c>
      <c r="O9" s="118" t="n">
        <v>14</v>
      </c>
      <c r="P9" s="118" t="n">
        <v>20</v>
      </c>
      <c r="Q9" s="95" t="n">
        <v>0.5</v>
      </c>
      <c r="R9" s="95" t="n">
        <v>22</v>
      </c>
      <c r="S9" s="95" t="n">
        <v>500</v>
      </c>
      <c r="T9" s="119" t="inlineStr">
        <is>
          <t>Highest capacity 21700; range-optimised UAVs</t>
        </is>
      </c>
    </row>
    <row r="10" ht="21.75" customHeight="1" s="78">
      <c r="A10" s="107" t="inlineStr">
        <is>
          <t>A123_ANR26650</t>
        </is>
      </c>
      <c r="B10" s="94" t="inlineStr">
        <is>
          <t>A123 Systems</t>
        </is>
      </c>
      <c r="C10" s="94" t="inlineStr">
        <is>
          <t>ANR26650M1B</t>
        </is>
      </c>
      <c r="D10" s="94" t="inlineStr">
        <is>
          <t>LIFEPO4</t>
        </is>
      </c>
      <c r="E10" s="94" t="inlineStr">
        <is>
          <t>26650 Cyl</t>
        </is>
      </c>
      <c r="F10" s="122" t="n">
        <v>3.3</v>
      </c>
      <c r="G10" s="122" t="n">
        <v>3.6</v>
      </c>
      <c r="H10" s="122" t="n">
        <v>2</v>
      </c>
      <c r="I10" s="122" t="n">
        <v>2.5</v>
      </c>
      <c r="J10" s="122" t="n">
        <v>8.25</v>
      </c>
      <c r="K10" s="122" t="n">
        <v>76</v>
      </c>
      <c r="L10" s="122" t="n">
        <v>109</v>
      </c>
      <c r="M10" s="122" t="n">
        <v>30</v>
      </c>
      <c r="N10" s="122" t="n">
        <v>275</v>
      </c>
      <c r="O10" s="122" t="n">
        <v>70</v>
      </c>
      <c r="P10" s="122" t="n">
        <v>120</v>
      </c>
      <c r="Q10" s="94" t="n">
        <v>4</v>
      </c>
      <c r="R10" s="94" t="n">
        <v>8</v>
      </c>
      <c r="S10" s="94" t="n">
        <v>2000</v>
      </c>
      <c r="T10" s="108" t="inlineStr">
        <is>
          <t>Industrial benchmark LFP cell; high power</t>
        </is>
      </c>
    </row>
    <row r="11" ht="21.75" customHeight="1" s="78">
      <c r="A11" s="117" t="inlineStr">
        <is>
          <t>HEADWAY_40152</t>
        </is>
      </c>
      <c r="B11" s="95" t="inlineStr">
        <is>
          <t>Headway</t>
        </is>
      </c>
      <c r="C11" s="95" t="inlineStr">
        <is>
          <t>HW 38120S</t>
        </is>
      </c>
      <c r="D11" s="95" t="inlineStr">
        <is>
          <t>LIFEPO4</t>
        </is>
      </c>
      <c r="E11" s="95" t="inlineStr">
        <is>
          <t>38120 Cyl</t>
        </is>
      </c>
      <c r="F11" s="118" t="n">
        <v>3.2</v>
      </c>
      <c r="G11" s="118" t="n">
        <v>3.65</v>
      </c>
      <c r="H11" s="118" t="n">
        <v>2</v>
      </c>
      <c r="I11" s="118" t="n">
        <v>10</v>
      </c>
      <c r="J11" s="118" t="n">
        <v>32</v>
      </c>
      <c r="K11" s="118" t="n">
        <v>310</v>
      </c>
      <c r="L11" s="118" t="n">
        <v>103</v>
      </c>
      <c r="M11" s="118" t="n">
        <v>136</v>
      </c>
      <c r="N11" s="118" t="n">
        <v>235</v>
      </c>
      <c r="O11" s="118" t="n">
        <v>30</v>
      </c>
      <c r="P11" s="118" t="n">
        <v>60</v>
      </c>
      <c r="Q11" s="95" t="n">
        <v>1</v>
      </c>
      <c r="R11" s="95" t="n">
        <v>5</v>
      </c>
      <c r="S11" s="95" t="n">
        <v>2000</v>
      </c>
      <c r="T11" s="119" t="inlineStr">
        <is>
          <t>Large format LFP; heavy UAV / long endurance</t>
        </is>
      </c>
    </row>
    <row r="12" ht="21.75" customHeight="1" s="78">
      <c r="A12" s="109" t="inlineStr">
        <is>
          <t>24M_SERIES</t>
        </is>
      </c>
      <c r="B12" s="98" t="inlineStr">
        <is>
          <t>24M Technol.</t>
        </is>
      </c>
      <c r="C12" s="98" t="inlineStr">
        <is>
          <t>SemiSolid Gen2</t>
        </is>
      </c>
      <c r="D12" s="98" t="inlineStr">
        <is>
          <t>SSS</t>
        </is>
      </c>
      <c r="E12" s="98" t="inlineStr">
        <is>
          <t>Pouch</t>
        </is>
      </c>
      <c r="F12" s="123" t="n">
        <v>3.7</v>
      </c>
      <c r="G12" s="123" t="n">
        <v>4.25</v>
      </c>
      <c r="H12" s="123" t="n">
        <v>3</v>
      </c>
      <c r="I12" s="123" t="n">
        <v>5</v>
      </c>
      <c r="J12" s="123" t="n">
        <v>18.5</v>
      </c>
      <c r="K12" s="123" t="n">
        <v>182</v>
      </c>
      <c r="L12" s="123" t="n">
        <v>101</v>
      </c>
      <c r="M12" s="123" t="inlineStr">
        <is>
          <t>N/A</t>
        </is>
      </c>
      <c r="N12" s="123" t="inlineStr">
        <is>
          <t>N/A</t>
        </is>
      </c>
      <c r="O12" s="123" t="n">
        <v>12</v>
      </c>
      <c r="P12" s="123" t="n">
        <v>25</v>
      </c>
      <c r="Q12" s="98" t="n">
        <v>0.5</v>
      </c>
      <c r="R12" s="98" t="n">
        <v>20</v>
      </c>
      <c r="S12" s="98" t="n">
        <v>800</v>
      </c>
      <c r="T12" s="110" t="inlineStr">
        <is>
          <t>Semi-solid electrolyte; improved safety; pilot production</t>
        </is>
      </c>
    </row>
    <row r="13" ht="21.75" customHeight="1" s="78">
      <c r="A13" s="117" t="inlineStr">
        <is>
          <t>TOYOTA_SSB_REF</t>
        </is>
      </c>
      <c r="B13" s="95" t="inlineStr">
        <is>
          <t>Toyota R&amp;D</t>
        </is>
      </c>
      <c r="C13" s="95" t="inlineStr">
        <is>
          <t>SSB Reference Cell</t>
        </is>
      </c>
      <c r="D13" s="95" t="inlineStr">
        <is>
          <t>SOLID</t>
        </is>
      </c>
      <c r="E13" s="95" t="inlineStr">
        <is>
          <t>Prismatic</t>
        </is>
      </c>
      <c r="F13" s="118" t="n">
        <v>3.8</v>
      </c>
      <c r="G13" s="118" t="n">
        <v>4.4</v>
      </c>
      <c r="H13" s="118" t="n">
        <v>3</v>
      </c>
      <c r="I13" s="118" t="n">
        <v>3</v>
      </c>
      <c r="J13" s="118" t="n">
        <v>11.4</v>
      </c>
      <c r="K13" s="118" t="n">
        <v>48</v>
      </c>
      <c r="L13" s="118" t="n">
        <v>237</v>
      </c>
      <c r="M13" s="118" t="n">
        <v>22</v>
      </c>
      <c r="N13" s="118" t="n">
        <v>518</v>
      </c>
      <c r="O13" s="118" t="n">
        <v>10</v>
      </c>
      <c r="P13" s="118" t="n">
        <v>20</v>
      </c>
      <c r="Q13" s="95" t="n">
        <v>0.3</v>
      </c>
      <c r="R13" s="95" t="n">
        <v>12</v>
      </c>
      <c r="S13" s="95" t="n">
        <v>1500</v>
      </c>
      <c r="T13" s="119" t="inlineStr">
        <is>
          <t>Reference only — not yet commercial; 2025 roadmap</t>
        </is>
      </c>
    </row>
  </sheetData>
  <mergeCells count="1">
    <mergeCell ref="A1:T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1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77" min="1" max="1"/>
    <col width="32" customWidth="1" style="77" min="2" max="2"/>
    <col width="16" customWidth="1" style="77" min="3" max="3"/>
    <col width="8" customWidth="1" style="77" min="4" max="4"/>
    <col width="7" customWidth="1" style="77" min="5" max="7"/>
    <col width="10" customWidth="1" style="77" min="8" max="11"/>
    <col width="11" customWidth="1" style="77" min="12" max="12"/>
    <col width="10" customWidth="1" style="77" min="13" max="13"/>
    <col width="13" customWidth="1" style="77" min="14" max="14"/>
    <col width="10" customWidth="1" style="77" min="15" max="15"/>
    <col width="12" customWidth="1" style="77" min="16" max="17"/>
    <col width="13" customWidth="1" style="77" min="18" max="18"/>
    <col width="11" customWidth="1" style="77" min="19" max="20"/>
    <col width="10" customWidth="1" style="77" min="21" max="21"/>
    <col width="16" customWidth="1" style="77" min="22" max="22"/>
    <col width="44" customWidth="1" style="77" min="23" max="23"/>
  </cols>
  <sheetData>
    <row r="1" ht="36" customHeight="1" s="78">
      <c r="A1" s="99" t="inlineStr">
        <is>
          <t>🔋  Battery Pack Catalog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</row>
    <row r="2" ht="43.5" customHeight="1" s="78">
      <c r="A2" s="100" t="inlineStr">
        <is>
          <t>Battery_ID</t>
        </is>
      </c>
      <c r="B2" s="100" t="inlineStr">
        <is>
          <t>Name / Description</t>
        </is>
      </c>
      <c r="C2" s="100" t="inlineStr">
        <is>
          <t>Cell_ID
(ref)</t>
        </is>
      </c>
      <c r="D2" s="100" t="inlineStr">
        <is>
          <t>Chemistry</t>
        </is>
      </c>
      <c r="E2" s="100" t="inlineStr">
        <is>
          <t>Cells
Series</t>
        </is>
      </c>
      <c r="F2" s="100" t="inlineStr">
        <is>
          <t>Cells
Parallel</t>
        </is>
      </c>
      <c r="G2" s="100" t="inlineStr">
        <is>
          <t>Total
Cells</t>
        </is>
      </c>
      <c r="H2" s="100" t="inlineStr">
        <is>
          <t>Pack
Voltage (V)</t>
        </is>
      </c>
      <c r="I2" s="100" t="inlineStr">
        <is>
          <t>Pack Max
Voltage (V)</t>
        </is>
      </c>
      <c r="J2" s="100" t="inlineStr">
        <is>
          <t>Pack Cutoff
Voltage (V)</t>
        </is>
      </c>
      <c r="K2" s="100" t="inlineStr">
        <is>
          <t>Pack Cap.
(Ah)</t>
        </is>
      </c>
      <c r="L2" s="100" t="inlineStr">
        <is>
          <t>Pack Energy
(Wh)</t>
        </is>
      </c>
      <c r="M2" s="100" t="inlineStr">
        <is>
          <t>Pack
Weight (g)</t>
        </is>
      </c>
      <c r="N2" s="100" t="inlineStr">
        <is>
          <t>Specific Energy
(Wh/kg)</t>
        </is>
      </c>
      <c r="O2" s="100" t="inlineStr">
        <is>
          <t>Pack
Volume (cm³)</t>
        </is>
      </c>
      <c r="P2" s="100" t="inlineStr">
        <is>
          <t>Energy Density
(Wh/L)</t>
        </is>
      </c>
      <c r="Q2" s="100" t="inlineStr">
        <is>
          <t>Max Cont.
Discharge (A)</t>
        </is>
      </c>
      <c r="R2" s="100" t="inlineStr">
        <is>
          <t>Max Cont.
Discharge (W)</t>
        </is>
      </c>
      <c r="S2" s="100" t="inlineStr">
        <is>
          <t>C-Rate Cont.
(C)</t>
        </is>
      </c>
      <c r="T2" s="100" t="inlineStr">
        <is>
          <t>Internal Res.
(mΩ)</t>
        </is>
      </c>
      <c r="U2" s="100" t="inlineStr">
        <is>
          <t>Cycle Life
(est.)</t>
        </is>
      </c>
      <c r="V2" s="100" t="inlineStr">
        <is>
          <t>UAV Class</t>
        </is>
      </c>
      <c r="W2" s="100" t="inlineStr">
        <is>
          <t>Notes</t>
        </is>
      </c>
    </row>
    <row r="3" ht="24" customHeight="1" s="78">
      <c r="A3" s="103" t="inlineStr">
        <is>
          <t>BAT_FPV_4S1P</t>
        </is>
      </c>
      <c r="B3" s="96" t="inlineStr">
        <is>
          <t>FPV Racing 4S 1300mAh</t>
        </is>
      </c>
      <c r="C3" s="96" t="inlineStr">
        <is>
          <t>TATTU_1300_4S</t>
        </is>
      </c>
      <c r="D3" s="96" t="inlineStr">
        <is>
          <t>LIPO</t>
        </is>
      </c>
      <c r="E3" s="96" t="n">
        <v>4</v>
      </c>
      <c r="F3" s="96" t="n">
        <v>1</v>
      </c>
      <c r="G3" s="96" t="n">
        <v>4</v>
      </c>
      <c r="H3" s="96" t="n">
        <v>14.8</v>
      </c>
      <c r="I3" s="96" t="n">
        <v>16.8</v>
      </c>
      <c r="J3" s="96" t="n">
        <v>12</v>
      </c>
      <c r="K3" s="96" t="n">
        <v>1.3</v>
      </c>
      <c r="L3" s="96" t="n">
        <v>19.2</v>
      </c>
      <c r="M3" s="96" t="n">
        <v>128</v>
      </c>
      <c r="N3" s="96" t="n">
        <v>150</v>
      </c>
      <c r="O3" s="96" t="n">
        <v>48</v>
      </c>
      <c r="P3" s="96" t="n">
        <v>400</v>
      </c>
      <c r="Q3" s="96" t="n">
        <v>65</v>
      </c>
      <c r="R3" s="96" t="n">
        <v>962</v>
      </c>
      <c r="S3" s="96" t="n">
        <v>50</v>
      </c>
      <c r="T3" s="96" t="n">
        <v>15</v>
      </c>
      <c r="U3" s="96" t="n">
        <v>300</v>
      </c>
      <c r="V3" s="96" t="inlineStr">
        <is>
          <t>FPV / Racing</t>
        </is>
      </c>
      <c r="W3" s="104" t="inlineStr">
        <is>
          <t>Pre-assembled 4S pack; plug-and-fly</t>
        </is>
      </c>
    </row>
    <row r="4" ht="24" customHeight="1" s="78">
      <c r="A4" s="117" t="inlineStr">
        <is>
          <t>BAT_MICRO_1S</t>
        </is>
      </c>
      <c r="B4" s="95" t="inlineStr">
        <is>
          <t>Micro UAV 1S 550mAh HV</t>
        </is>
      </c>
      <c r="C4" s="95" t="inlineStr">
        <is>
          <t>GAONENG_550</t>
        </is>
      </c>
      <c r="D4" s="95" t="inlineStr">
        <is>
          <t>LIHV</t>
        </is>
      </c>
      <c r="E4" s="95" t="n">
        <v>1</v>
      </c>
      <c r="F4" s="95" t="n">
        <v>1</v>
      </c>
      <c r="G4" s="95" t="n">
        <v>1</v>
      </c>
      <c r="H4" s="95" t="n">
        <v>3.85</v>
      </c>
      <c r="I4" s="95" t="n">
        <v>4.35</v>
      </c>
      <c r="J4" s="95" t="n">
        <v>3</v>
      </c>
      <c r="K4" s="95" t="n">
        <v>0.55</v>
      </c>
      <c r="L4" s="95" t="n">
        <v>2.12</v>
      </c>
      <c r="M4" s="95" t="n">
        <v>14</v>
      </c>
      <c r="N4" s="95" t="n">
        <v>151</v>
      </c>
      <c r="O4" s="95" t="n">
        <v>6</v>
      </c>
      <c r="P4" s="95" t="n">
        <v>353</v>
      </c>
      <c r="Q4" s="95" t="n">
        <v>5</v>
      </c>
      <c r="R4" s="95" t="n">
        <v>19</v>
      </c>
      <c r="S4" s="95" t="n">
        <v>9</v>
      </c>
      <c r="T4" s="95" t="n">
        <v>30</v>
      </c>
      <c r="U4" s="95" t="n">
        <v>250</v>
      </c>
      <c r="V4" s="95" t="inlineStr">
        <is>
          <t>Micro UAV</t>
        </is>
      </c>
      <c r="W4" s="119" t="inlineStr">
        <is>
          <t>Tiny whoop / micro FPV</t>
        </is>
      </c>
    </row>
    <row r="5" ht="24" customHeight="1" s="78">
      <c r="A5" s="87" t="inlineStr">
        <is>
          <t>BAT_MID_6S2P</t>
        </is>
      </c>
      <c r="B5" s="88" t="inlineStr">
        <is>
          <t>Mid UAV 6S2P 21700</t>
        </is>
      </c>
      <c r="C5" s="88" t="inlineStr">
        <is>
          <t>MOLICEL_P45B</t>
        </is>
      </c>
      <c r="D5" s="88" t="inlineStr">
        <is>
          <t>LION21</t>
        </is>
      </c>
      <c r="E5" s="88" t="n">
        <v>6</v>
      </c>
      <c r="F5" s="88" t="n">
        <v>2</v>
      </c>
      <c r="G5" s="88" t="n">
        <v>12</v>
      </c>
      <c r="H5" s="88" t="n">
        <v>21.9</v>
      </c>
      <c r="I5" s="88" t="n">
        <v>25.2</v>
      </c>
      <c r="J5" s="88" t="n">
        <v>15</v>
      </c>
      <c r="K5" s="88" t="n">
        <v>9</v>
      </c>
      <c r="L5" s="88" t="n">
        <v>197</v>
      </c>
      <c r="M5" s="88" t="n">
        <v>840</v>
      </c>
      <c r="N5" s="88" t="n">
        <v>235</v>
      </c>
      <c r="O5" s="88" t="n">
        <v>408</v>
      </c>
      <c r="P5" s="88" t="n">
        <v>481</v>
      </c>
      <c r="Q5" s="88" t="n">
        <v>90</v>
      </c>
      <c r="R5" s="88" t="n">
        <v>1971</v>
      </c>
      <c r="S5" s="88" t="n">
        <v>10</v>
      </c>
      <c r="T5" s="88" t="n">
        <v>28</v>
      </c>
      <c r="U5" s="88" t="n">
        <v>800</v>
      </c>
      <c r="V5" s="88" t="inlineStr">
        <is>
          <t>Inspection UAV</t>
        </is>
      </c>
      <c r="W5" s="89" t="inlineStr">
        <is>
          <t>6S2P Molicel P45B; excellent energy+discharge</t>
        </is>
      </c>
    </row>
    <row r="6" ht="24" customHeight="1" s="78">
      <c r="A6" s="117" t="inlineStr">
        <is>
          <t>BAT_MID_6S4P</t>
        </is>
      </c>
      <c r="B6" s="95" t="inlineStr">
        <is>
          <t>Mid UAV 6S4P 21700 High Cap</t>
        </is>
      </c>
      <c r="C6" s="95" t="inlineStr">
        <is>
          <t>LG_M50LT</t>
        </is>
      </c>
      <c r="D6" s="95" t="inlineStr">
        <is>
          <t>LION21</t>
        </is>
      </c>
      <c r="E6" s="95" t="n">
        <v>6</v>
      </c>
      <c r="F6" s="95" t="n">
        <v>4</v>
      </c>
      <c r="G6" s="95" t="n">
        <v>24</v>
      </c>
      <c r="H6" s="95" t="n">
        <v>21.8</v>
      </c>
      <c r="I6" s="95" t="n">
        <v>25.2</v>
      </c>
      <c r="J6" s="95" t="n">
        <v>15</v>
      </c>
      <c r="K6" s="95" t="n">
        <v>20</v>
      </c>
      <c r="L6" s="95" t="n">
        <v>436</v>
      </c>
      <c r="M6" s="95" t="n">
        <v>1692</v>
      </c>
      <c r="N6" s="95" t="n">
        <v>258</v>
      </c>
      <c r="O6" s="95" t="n">
        <v>820</v>
      </c>
      <c r="P6" s="95" t="n">
        <v>532</v>
      </c>
      <c r="Q6" s="95" t="n">
        <v>56</v>
      </c>
      <c r="R6" s="95" t="n">
        <v>1221</v>
      </c>
      <c r="S6" s="95" t="n">
        <v>2.8</v>
      </c>
      <c r="T6" s="95" t="n">
        <v>88</v>
      </c>
      <c r="U6" s="95" t="n">
        <v>500</v>
      </c>
      <c r="V6" s="95" t="inlineStr">
        <is>
          <t>Long Endurance</t>
        </is>
      </c>
      <c r="W6" s="119" t="inlineStr">
        <is>
          <t>Max endurance config; heavy; survey UAV</t>
        </is>
      </c>
    </row>
    <row r="7" ht="24" customHeight="1" s="78">
      <c r="A7" s="107" t="inlineStr">
        <is>
          <t>BAT_AG_6S1P</t>
        </is>
      </c>
      <c r="B7" s="94" t="inlineStr">
        <is>
          <t>Agriculture 6S LFP</t>
        </is>
      </c>
      <c r="C7" s="94" t="inlineStr">
        <is>
          <t>HEADWAY_40152</t>
        </is>
      </c>
      <c r="D7" s="94" t="inlineStr">
        <is>
          <t>LIFEPO4</t>
        </is>
      </c>
      <c r="E7" s="94" t="n">
        <v>6</v>
      </c>
      <c r="F7" s="94" t="n">
        <v>1</v>
      </c>
      <c r="G7" s="94" t="n">
        <v>6</v>
      </c>
      <c r="H7" s="94" t="n">
        <v>19.2</v>
      </c>
      <c r="I7" s="94" t="n">
        <v>21.9</v>
      </c>
      <c r="J7" s="94" t="n">
        <v>12</v>
      </c>
      <c r="K7" s="94" t="n">
        <v>10</v>
      </c>
      <c r="L7" s="94" t="n">
        <v>192</v>
      </c>
      <c r="M7" s="94" t="n">
        <v>1860</v>
      </c>
      <c r="N7" s="94" t="n">
        <v>103</v>
      </c>
      <c r="O7" s="94" t="n">
        <v>816</v>
      </c>
      <c r="P7" s="94" t="n">
        <v>235</v>
      </c>
      <c r="Q7" s="94" t="n">
        <v>30</v>
      </c>
      <c r="R7" s="94" t="n">
        <v>576</v>
      </c>
      <c r="S7" s="94" t="n">
        <v>3</v>
      </c>
      <c r="T7" s="94" t="n">
        <v>5</v>
      </c>
      <c r="U7" s="94" t="n">
        <v>2000</v>
      </c>
      <c r="V7" s="94" t="inlineStr">
        <is>
          <t>Agriculture UAV</t>
        </is>
      </c>
      <c r="W7" s="108" t="inlineStr">
        <is>
          <t>Heavy but ultra-safe; high cycle count for daily ops</t>
        </is>
      </c>
    </row>
    <row r="8" ht="24" customHeight="1" s="78">
      <c r="A8" s="117" t="inlineStr">
        <is>
          <t>BAT_HLIFT_6S2P</t>
        </is>
      </c>
      <c r="B8" s="95" t="inlineStr">
        <is>
          <t>Heavy Lift 6S2P LFP</t>
        </is>
      </c>
      <c r="C8" s="95" t="inlineStr">
        <is>
          <t>A123_ANR26650</t>
        </is>
      </c>
      <c r="D8" s="95" t="inlineStr">
        <is>
          <t>LIFEPO4</t>
        </is>
      </c>
      <c r="E8" s="95" t="n">
        <v>6</v>
      </c>
      <c r="F8" s="95" t="n">
        <v>2</v>
      </c>
      <c r="G8" s="95" t="n">
        <v>12</v>
      </c>
      <c r="H8" s="95" t="n">
        <v>19.8</v>
      </c>
      <c r="I8" s="95" t="n">
        <v>21.6</v>
      </c>
      <c r="J8" s="95" t="n">
        <v>12</v>
      </c>
      <c r="K8" s="95" t="n">
        <v>5</v>
      </c>
      <c r="L8" s="95" t="n">
        <v>99</v>
      </c>
      <c r="M8" s="95" t="n">
        <v>912</v>
      </c>
      <c r="N8" s="95" t="n">
        <v>109</v>
      </c>
      <c r="O8" s="95" t="n">
        <v>360</v>
      </c>
      <c r="P8" s="95" t="n">
        <v>275</v>
      </c>
      <c r="Q8" s="95" t="n">
        <v>140</v>
      </c>
      <c r="R8" s="95" t="n">
        <v>2772</v>
      </c>
      <c r="S8" s="95" t="n">
        <v>28</v>
      </c>
      <c r="T8" s="95" t="n">
        <v>16</v>
      </c>
      <c r="U8" s="95" t="n">
        <v>2000</v>
      </c>
      <c r="V8" s="95" t="inlineStr">
        <is>
          <t>Heavy Lift UAV</t>
        </is>
      </c>
      <c r="W8" s="119" t="inlineStr">
        <is>
          <t>High discharge rate; payload carry UAVs</t>
        </is>
      </c>
    </row>
    <row r="9" ht="24" customHeight="1" s="78">
      <c r="A9" s="87" t="inlineStr">
        <is>
          <t>BAT_LE_12S2P</t>
        </is>
      </c>
      <c r="B9" s="88" t="inlineStr">
        <is>
          <t>Long Endurance 12S2P 21700</t>
        </is>
      </c>
      <c r="C9" s="88" t="inlineStr">
        <is>
          <t>SAMSUNG_40T</t>
        </is>
      </c>
      <c r="D9" s="88" t="inlineStr">
        <is>
          <t>LION21</t>
        </is>
      </c>
      <c r="E9" s="88" t="n">
        <v>12</v>
      </c>
      <c r="F9" s="88" t="n">
        <v>2</v>
      </c>
      <c r="G9" s="88" t="n">
        <v>24</v>
      </c>
      <c r="H9" s="88" t="n">
        <v>43.8</v>
      </c>
      <c r="I9" s="88" t="n">
        <v>50.4</v>
      </c>
      <c r="J9" s="88" t="n">
        <v>30</v>
      </c>
      <c r="K9" s="88" t="n">
        <v>8</v>
      </c>
      <c r="L9" s="88" t="n">
        <v>350</v>
      </c>
      <c r="M9" s="88" t="n">
        <v>1656</v>
      </c>
      <c r="N9" s="88" t="n">
        <v>212</v>
      </c>
      <c r="O9" s="88" t="n">
        <v>810</v>
      </c>
      <c r="P9" s="88" t="n">
        <v>432</v>
      </c>
      <c r="Q9" s="88" t="n">
        <v>70</v>
      </c>
      <c r="R9" s="88" t="n">
        <v>3066</v>
      </c>
      <c r="S9" s="88" t="n">
        <v>8.75</v>
      </c>
      <c r="T9" s="88" t="n">
        <v>36</v>
      </c>
      <c r="U9" s="88" t="n">
        <v>500</v>
      </c>
      <c r="V9" s="88" t="inlineStr">
        <is>
          <t>Fixed Wing VTOL</t>
        </is>
      </c>
      <c r="W9" s="89" t="inlineStr">
        <is>
          <t>High voltage for efficient motor drive; VTOL survey</t>
        </is>
      </c>
    </row>
    <row r="10" ht="24" customHeight="1" s="78">
      <c r="A10" s="117" t="inlineStr">
        <is>
          <t>BAT_SSS_6S1P</t>
        </is>
      </c>
      <c r="B10" s="95" t="inlineStr">
        <is>
          <t>Semi-Solid-State 6S1P</t>
        </is>
      </c>
      <c r="C10" s="95" t="inlineStr">
        <is>
          <t>24M_SERIES</t>
        </is>
      </c>
      <c r="D10" s="95" t="inlineStr">
        <is>
          <t>SSS</t>
        </is>
      </c>
      <c r="E10" s="95" t="n">
        <v>6</v>
      </c>
      <c r="F10" s="95" t="n">
        <v>1</v>
      </c>
      <c r="G10" s="95" t="n">
        <v>6</v>
      </c>
      <c r="H10" s="95" t="n">
        <v>22.2</v>
      </c>
      <c r="I10" s="95" t="n">
        <v>25.5</v>
      </c>
      <c r="J10" s="95" t="n">
        <v>18</v>
      </c>
      <c r="K10" s="95" t="n">
        <v>5</v>
      </c>
      <c r="L10" s="95" t="n">
        <v>111</v>
      </c>
      <c r="M10" s="95" t="n">
        <v>606</v>
      </c>
      <c r="N10" s="95" t="n">
        <v>183</v>
      </c>
      <c r="O10" s="95" t="inlineStr">
        <is>
          <t>N/A</t>
        </is>
      </c>
      <c r="P10" s="95" t="inlineStr">
        <is>
          <t>N/A</t>
        </is>
      </c>
      <c r="Q10" s="95" t="n">
        <v>12</v>
      </c>
      <c r="R10" s="95" t="n">
        <v>266</v>
      </c>
      <c r="S10" s="95" t="n">
        <v>2.4</v>
      </c>
      <c r="T10" s="95" t="n">
        <v>20</v>
      </c>
      <c r="U10" s="95" t="n">
        <v>800</v>
      </c>
      <c r="V10" s="95" t="inlineStr">
        <is>
          <t>Next-Gen UAV</t>
        </is>
      </c>
      <c r="W10" s="119" t="inlineStr">
        <is>
          <t>Emerging tech; improved safety; 2025 availability</t>
        </is>
      </c>
    </row>
    <row r="11">
      <c r="A11" s="77" t="inlineStr">
        <is>
          <t>TATTU_TATTU_ULTRA_HIGH_VOLTAGE_41000MAH_5C_23_7V_6</t>
        </is>
      </c>
      <c r="B11" s="77" t="inlineStr">
        <is>
          <t>Tattu Ultra High Voltage 41000mAh 23.7V 5C 6S1P G-Tech Lipo Battery Pack with XT90S Plug</t>
        </is>
      </c>
      <c r="C11" s="77" t="inlineStr">
        <is>
          <t>CELL_LIPO_GENERIC</t>
        </is>
      </c>
      <c r="D11" s="77" t="inlineStr">
        <is>
          <t>LIPO</t>
        </is>
      </c>
      <c r="E11" s="77" t="n">
        <v>6</v>
      </c>
      <c r="F11" s="77" t="n">
        <v>7</v>
      </c>
      <c r="G11" s="77" t="n">
        <v>42</v>
      </c>
      <c r="H11" s="77" t="n">
        <v>22.2</v>
      </c>
      <c r="I11" s="77" t="n">
        <v>25.2</v>
      </c>
      <c r="J11" s="77" t="n">
        <v>19.8</v>
      </c>
      <c r="K11" s="77" t="n">
        <v>41</v>
      </c>
      <c r="L11" s="77" t="n">
        <v>910.2</v>
      </c>
      <c r="M11" s="77" t="n">
        <v>3790</v>
      </c>
      <c r="N11" s="77" t="n">
        <v>240.2</v>
      </c>
      <c r="Q11" s="77" t="n">
        <v>205</v>
      </c>
      <c r="R11" s="77" t="n">
        <v>4551</v>
      </c>
      <c r="S11" s="77" t="n">
        <v>5</v>
      </c>
      <c r="T11" s="77" t="n">
        <v>42</v>
      </c>
      <c r="U11" s="77" t="n">
        <v>300</v>
      </c>
      <c r="V11" s="77" t="inlineStr">
        <is>
          <t>Industrial UAV</t>
        </is>
      </c>
      <c r="W11" s="77" t="inlineStr">
        <is>
          <t>Scraped from genstattu.com. https://genstattu.com/tattu-ultra-high-voltage-41000mah-5c-23-7v-6s1p-g-tech-lipo-battery-with-qs8-plug/</t>
        </is>
      </c>
    </row>
    <row r="12">
      <c r="A12" s="77" t="inlineStr">
        <is>
          <t>TATTU_TATTU_SEMI_SOLID_STATE_350WH_KG_33000MAH_10C</t>
        </is>
      </c>
      <c r="B12" s="77" t="inlineStr">
        <is>
          <t>Tattu Semi-solid State 350Wh/kg 33000mAh 10C 51.8V 14S1P G-Tech Lipo Battery Pack with AS150U-F</t>
        </is>
      </c>
      <c r="C12" s="77" t="inlineStr">
        <is>
          <t>CELL_LIPO_GENERIC</t>
        </is>
      </c>
      <c r="D12" s="77" t="inlineStr">
        <is>
          <t>LIPO</t>
        </is>
      </c>
      <c r="E12" s="77" t="n">
        <v>14</v>
      </c>
      <c r="F12" s="77" t="n">
        <v>1</v>
      </c>
      <c r="G12" s="77" t="n">
        <v>14</v>
      </c>
      <c r="H12" s="77" t="n">
        <v>51.8</v>
      </c>
      <c r="I12" s="77" t="n">
        <v>58.8</v>
      </c>
      <c r="J12" s="77" t="n">
        <v>46.2</v>
      </c>
      <c r="K12" s="77" t="n">
        <v>33</v>
      </c>
      <c r="L12" s="77" t="n">
        <v>1709.4</v>
      </c>
      <c r="M12" s="77" t="n">
        <v>5486.5</v>
      </c>
      <c r="N12" s="77" t="n">
        <v>311.6</v>
      </c>
      <c r="Q12" s="77" t="n">
        <v>330</v>
      </c>
      <c r="R12" s="77" t="n">
        <v>17094</v>
      </c>
      <c r="S12" s="77" t="n">
        <v>10</v>
      </c>
      <c r="T12" s="77" t="n">
        <v>14</v>
      </c>
      <c r="U12" s="77" t="n">
        <v>300</v>
      </c>
      <c r="V12" s="77" t="inlineStr">
        <is>
          <t>Industrial UAV</t>
        </is>
      </c>
      <c r="W12" s="77" t="inlineStr">
        <is>
          <t>Scraped from genstattu.com. https://genstattu.com/tattu-semi-solid-state-350wh-kg-33000mah-10c-51-8v-14s1p-lipo-battery-pack-with-as150u-f-plug/</t>
        </is>
      </c>
    </row>
    <row r="13">
      <c r="A13" s="77" t="inlineStr">
        <is>
          <t>TATTU_TATTU_SEMI_SOLID_STATE_330WH_KG_33000MAH_10C</t>
        </is>
      </c>
      <c r="B13" s="77" t="inlineStr">
        <is>
          <t>Tattu Semi-solid State 330Wh/kg 33000mAh 10C 51.8V 14S1P Lipo Battery Pack with AS150U</t>
        </is>
      </c>
      <c r="C13" s="77" t="inlineStr">
        <is>
          <t>CELL_LIPO_GENERIC</t>
        </is>
      </c>
      <c r="D13" s="77" t="inlineStr">
        <is>
          <t>LIPO</t>
        </is>
      </c>
      <c r="E13" s="77" t="n">
        <v>14</v>
      </c>
      <c r="F13" s="77" t="n">
        <v>1</v>
      </c>
      <c r="G13" s="77" t="n">
        <v>14</v>
      </c>
      <c r="H13" s="77" t="n">
        <v>51.8</v>
      </c>
      <c r="I13" s="77" t="n">
        <v>58.8</v>
      </c>
      <c r="J13" s="77" t="n">
        <v>46.2</v>
      </c>
      <c r="K13" s="77" t="n">
        <v>33</v>
      </c>
      <c r="L13" s="77" t="n">
        <v>1709.4</v>
      </c>
      <c r="M13" s="77" t="n">
        <v>5701</v>
      </c>
      <c r="N13" s="77" t="n">
        <v>299.8</v>
      </c>
      <c r="Q13" s="77" t="n">
        <v>330</v>
      </c>
      <c r="R13" s="77" t="n">
        <v>17094</v>
      </c>
      <c r="S13" s="77" t="n">
        <v>10</v>
      </c>
      <c r="T13" s="77" t="n">
        <v>14</v>
      </c>
      <c r="U13" s="77" t="n">
        <v>300</v>
      </c>
      <c r="V13" s="77" t="inlineStr">
        <is>
          <t>Industrial UAV</t>
        </is>
      </c>
      <c r="W13" s="77" t="inlineStr">
        <is>
          <t>Scraped from genstattu.com. https://genstattu.com/tattu-semi-solid-state-330wh-kg-33000mah-10c-51-8v-14s1p-lipo-battery-pack-with-as150u-f-plug/</t>
        </is>
      </c>
    </row>
    <row r="14">
      <c r="A14" s="77" t="inlineStr">
        <is>
          <t>TATTU_TATTU_SEMI_SOLID_STATE_330WH_KG_76000MAH_10C</t>
        </is>
      </c>
      <c r="B14" s="77" t="inlineStr">
        <is>
          <t>Tattu Semi-solid State 330Wh/kg 76000mAh 10C 44.4V 12S1P  Lipo Battery Pack with QS12-F</t>
        </is>
      </c>
      <c r="C14" s="77" t="inlineStr">
        <is>
          <t>CELL_LIPO_GENERIC</t>
        </is>
      </c>
      <c r="D14" s="77" t="inlineStr">
        <is>
          <t>LIPO</t>
        </is>
      </c>
      <c r="E14" s="77" t="n">
        <v>12</v>
      </c>
      <c r="F14" s="77" t="n">
        <v>1</v>
      </c>
      <c r="G14" s="77" t="n">
        <v>12</v>
      </c>
      <c r="H14" s="77" t="n">
        <v>44.4</v>
      </c>
      <c r="I14" s="77" t="n">
        <v>50.4</v>
      </c>
      <c r="J14" s="77" t="n">
        <v>39.6</v>
      </c>
      <c r="K14" s="77" t="n">
        <v>76</v>
      </c>
      <c r="L14" s="77" t="n">
        <v>3374.4</v>
      </c>
      <c r="M14" s="77" t="n">
        <v>10949</v>
      </c>
      <c r="N14" s="77" t="n">
        <v>308.2</v>
      </c>
      <c r="Q14" s="77" t="n">
        <v>760</v>
      </c>
      <c r="R14" s="77" t="n">
        <v>33744</v>
      </c>
      <c r="S14" s="77" t="n">
        <v>10</v>
      </c>
      <c r="T14" s="77" t="n">
        <v>12</v>
      </c>
      <c r="U14" s="77" t="n">
        <v>300</v>
      </c>
      <c r="V14" s="77" t="inlineStr">
        <is>
          <t>Industrial UAV</t>
        </is>
      </c>
      <c r="W14" s="77" t="inlineStr">
        <is>
          <t>Scraped from genstattu.com. https://genstattu.com/tattu-semi-solid-state-330wh-kg-76000mah-10c-44-4v-12s1p-lipo-battery-pack-with-qs12-s-plug/</t>
        </is>
      </c>
    </row>
    <row r="15">
      <c r="A15" s="77" t="inlineStr">
        <is>
          <t>TATTU_TATTU_SEMI_SOLID_STATE_330WH_KG_25000MAH_10C</t>
        </is>
      </c>
      <c r="B15" s="77" t="inlineStr">
        <is>
          <t>Tattu Semi-solid State 25000mAh 5C 22.2V 12S1P Lipo Battery Pack with AS150U-F</t>
        </is>
      </c>
      <c r="C15" s="77" t="inlineStr">
        <is>
          <t>CELL_LIPO_GENERIC</t>
        </is>
      </c>
      <c r="D15" s="77" t="inlineStr">
        <is>
          <t>LIPO</t>
        </is>
      </c>
      <c r="E15" s="77" t="n">
        <v>12</v>
      </c>
      <c r="F15" s="77" t="n">
        <v>1</v>
      </c>
      <c r="G15" s="77" t="n">
        <v>12</v>
      </c>
      <c r="H15" s="77" t="n">
        <v>44.4</v>
      </c>
      <c r="I15" s="77" t="n">
        <v>50.4</v>
      </c>
      <c r="J15" s="77" t="n">
        <v>39.6</v>
      </c>
      <c r="K15" s="77" t="n">
        <v>25</v>
      </c>
      <c r="L15" s="77" t="n">
        <v>1110</v>
      </c>
      <c r="M15" s="77" t="n">
        <v>3788</v>
      </c>
      <c r="N15" s="77" t="n">
        <v>293</v>
      </c>
      <c r="Q15" s="77" t="n">
        <v>125</v>
      </c>
      <c r="R15" s="77" t="n">
        <v>5550</v>
      </c>
      <c r="S15" s="77" t="n">
        <v>5</v>
      </c>
      <c r="T15" s="77" t="n">
        <v>12</v>
      </c>
      <c r="U15" s="77" t="n">
        <v>300</v>
      </c>
      <c r="V15" s="77" t="inlineStr">
        <is>
          <t>Industrial UAV</t>
        </is>
      </c>
      <c r="W15" s="77" t="inlineStr">
        <is>
          <t>Scraped from genstattu.com. https://genstattu.com/tattu-semi-solid-state-330wh-kg-25000mah-10c-44-4v-12s1p-lipo-battery-pack-with-as150u-f-plug/</t>
        </is>
      </c>
    </row>
    <row r="16">
      <c r="A16" s="77" t="inlineStr">
        <is>
          <t>TATTU_TATTU_SEMI_SOLID_STATE_300WH_KG_30000MAH_10C</t>
        </is>
      </c>
      <c r="B16" s="77" t="inlineStr">
        <is>
          <t>Tattu Semi-solid State 300Wh/kg 30000mAh 10C 44.4V 12S1P Lipo Battery Pack with AS150U</t>
        </is>
      </c>
      <c r="C16" s="77" t="inlineStr">
        <is>
          <t>CELL_LIPO_GENERIC</t>
        </is>
      </c>
      <c r="D16" s="77" t="inlineStr">
        <is>
          <t>LIPO</t>
        </is>
      </c>
      <c r="E16" s="77" t="n">
        <v>12</v>
      </c>
      <c r="F16" s="77" t="n">
        <v>1</v>
      </c>
      <c r="G16" s="77" t="n">
        <v>12</v>
      </c>
      <c r="H16" s="77" t="n">
        <v>44.4</v>
      </c>
      <c r="I16" s="77" t="n">
        <v>50.4</v>
      </c>
      <c r="J16" s="77" t="n">
        <v>39.6</v>
      </c>
      <c r="K16" s="77" t="n">
        <v>30</v>
      </c>
      <c r="L16" s="77" t="n">
        <v>1332</v>
      </c>
      <c r="M16" s="77" t="n">
        <v>4900</v>
      </c>
      <c r="N16" s="77" t="n">
        <v>271.8</v>
      </c>
      <c r="Q16" s="77" t="n">
        <v>300</v>
      </c>
      <c r="R16" s="77" t="n">
        <v>13320</v>
      </c>
      <c r="S16" s="77" t="n">
        <v>10</v>
      </c>
      <c r="T16" s="77" t="n">
        <v>12</v>
      </c>
      <c r="U16" s="77" t="n">
        <v>300</v>
      </c>
      <c r="V16" s="77" t="inlineStr">
        <is>
          <t>Industrial UAV</t>
        </is>
      </c>
      <c r="W16" s="77" t="inlineStr">
        <is>
          <t>Scraped from genstattu.com. https://genstattu.com/tattu-semi-solid-state-300wh-kg-30000mah-10c-44-4v-12s1p-lipo-battery-pack-with-as150u/</t>
        </is>
      </c>
    </row>
    <row r="17">
      <c r="A17" s="77" t="inlineStr">
        <is>
          <t>TATTU_TATTU_SEMI_SOLID_STATE_300WH_KG_25000MAH_10C</t>
        </is>
      </c>
      <c r="B17" s="77" t="inlineStr">
        <is>
          <t>Tattu Semi-solid State 300Wh/kg 25000mAh 10C 22.2V 6S1P G-Tech Lipo Battery Pack with XT90S-F</t>
        </is>
      </c>
      <c r="C17" s="77" t="inlineStr">
        <is>
          <t>CELL_LIPO_GENERIC</t>
        </is>
      </c>
      <c r="D17" s="77" t="inlineStr">
        <is>
          <t>LIPO</t>
        </is>
      </c>
      <c r="E17" s="77" t="n">
        <v>6</v>
      </c>
      <c r="F17" s="77" t="n">
        <v>7</v>
      </c>
      <c r="G17" s="77" t="n">
        <v>42</v>
      </c>
      <c r="H17" s="77" t="n">
        <v>22.2</v>
      </c>
      <c r="I17" s="77" t="n">
        <v>25.2</v>
      </c>
      <c r="J17" s="77" t="n">
        <v>19.8</v>
      </c>
      <c r="K17" s="77" t="n">
        <v>25</v>
      </c>
      <c r="L17" s="77" t="n">
        <v>555</v>
      </c>
      <c r="M17" s="77" t="n">
        <v>2048</v>
      </c>
      <c r="N17" s="77" t="n">
        <v>271</v>
      </c>
      <c r="Q17" s="77" t="n">
        <v>250</v>
      </c>
      <c r="R17" s="77" t="n">
        <v>5550</v>
      </c>
      <c r="S17" s="77" t="n">
        <v>10</v>
      </c>
      <c r="T17" s="77" t="n">
        <v>42</v>
      </c>
      <c r="U17" s="77" t="n">
        <v>300</v>
      </c>
      <c r="V17" s="77" t="inlineStr">
        <is>
          <t>Industrial UAV</t>
        </is>
      </c>
      <c r="W17" s="77" t="inlineStr">
        <is>
          <t>Scraped from genstattu.com. https://genstattu.com/tattu-semi-solid-state-300wh-kg-25000mah-10c-22-2v-6s1p-g-tech-lipo-battery-pack-with-xt90s-f/</t>
        </is>
      </c>
    </row>
    <row r="18">
      <c r="A18" s="77" t="inlineStr">
        <is>
          <t>TATTU_TATTU_SEMI_SOLID_STATE_300WH_KG_22000MAH_10C</t>
        </is>
      </c>
      <c r="B18" s="77" t="inlineStr">
        <is>
          <t>Tattu Semi-solid State 300Wh/kg 22000mAh 10C 22.2V 6S1P G-Tech Lipo Battery Pack with XT90S-F</t>
        </is>
      </c>
      <c r="C18" s="77" t="inlineStr">
        <is>
          <t>CELL_LIPO_GENERIC</t>
        </is>
      </c>
      <c r="D18" s="77" t="inlineStr">
        <is>
          <t>LIPO</t>
        </is>
      </c>
      <c r="E18" s="77" t="n">
        <v>6</v>
      </c>
      <c r="F18" s="77" t="n">
        <v>7</v>
      </c>
      <c r="G18" s="77" t="n">
        <v>42</v>
      </c>
      <c r="H18" s="77" t="n">
        <v>22.2</v>
      </c>
      <c r="I18" s="77" t="n">
        <v>25.2</v>
      </c>
      <c r="J18" s="77" t="n">
        <v>19.8</v>
      </c>
      <c r="K18" s="77" t="n">
        <v>22</v>
      </c>
      <c r="L18" s="77" t="n">
        <v>488.4</v>
      </c>
      <c r="M18" s="77" t="n">
        <v>1807</v>
      </c>
      <c r="N18" s="77" t="n">
        <v>270.3</v>
      </c>
      <c r="Q18" s="77" t="n">
        <v>220</v>
      </c>
      <c r="R18" s="77" t="n">
        <v>4884</v>
      </c>
      <c r="S18" s="77" t="n">
        <v>10</v>
      </c>
      <c r="T18" s="77" t="n">
        <v>42</v>
      </c>
      <c r="U18" s="77" t="n">
        <v>300</v>
      </c>
      <c r="V18" s="77" t="inlineStr">
        <is>
          <t>Industrial UAV</t>
        </is>
      </c>
      <c r="W18" s="77" t="inlineStr">
        <is>
          <t>Scraped from genstattu.com. https://genstattu.com/tattu-semi-solid-state-300wh-kg-22000mah-10c-22-2v-6s1p-g-tech-lipo-battery-pack-with-xt90s-f/</t>
        </is>
      </c>
    </row>
    <row r="19">
      <c r="A19" s="77" t="inlineStr">
        <is>
          <t>TATTU_TATTU_SEMI_SOLID_STATE_300WH_KG_17000MAH_10C</t>
        </is>
      </c>
      <c r="B19" s="77" t="inlineStr">
        <is>
          <t>Tattu Semi Solid state 300Wh/kg 17000mAh 22.2V 10C 6S1P G-Tech Lipo Battery Pack with XT90S Plug</t>
        </is>
      </c>
      <c r="C19" s="77" t="inlineStr">
        <is>
          <t>CELL_LIPO_GENERIC</t>
        </is>
      </c>
      <c r="D19" s="77" t="inlineStr">
        <is>
          <t>LIPO</t>
        </is>
      </c>
      <c r="E19" s="77" t="n">
        <v>6</v>
      </c>
      <c r="F19" s="77" t="n">
        <v>7</v>
      </c>
      <c r="G19" s="77" t="n">
        <v>42</v>
      </c>
      <c r="H19" s="77" t="n">
        <v>22.2</v>
      </c>
      <c r="I19" s="77" t="n">
        <v>25.2</v>
      </c>
      <c r="J19" s="77" t="n">
        <v>19.8</v>
      </c>
      <c r="K19" s="77" t="n">
        <v>17</v>
      </c>
      <c r="L19" s="77" t="n">
        <v>377.4</v>
      </c>
      <c r="M19" s="77" t="n">
        <v>1432</v>
      </c>
      <c r="N19" s="77" t="n">
        <v>263.5</v>
      </c>
      <c r="Q19" s="77" t="n">
        <v>170</v>
      </c>
      <c r="R19" s="77" t="n">
        <v>3774</v>
      </c>
      <c r="S19" s="77" t="n">
        <v>10</v>
      </c>
      <c r="T19" s="77" t="n">
        <v>42</v>
      </c>
      <c r="U19" s="77" t="n">
        <v>300</v>
      </c>
      <c r="V19" s="77" t="inlineStr">
        <is>
          <t>Industrial UAV</t>
        </is>
      </c>
      <c r="W19" s="77" t="inlineStr">
        <is>
          <t>Scraped from genstattu.com. https://genstattu.com/tattu-semi-solid-state-300wh-kg-17000mah-10c-22-2v-6s1p-g-tech-lipo-battery-pack-with-xt90s-f/</t>
        </is>
      </c>
    </row>
    <row r="20">
      <c r="A20" s="77" t="inlineStr">
        <is>
          <t>TATTU_TATTU_ULTRA_HIGH_VOLTAGE_41000MAH_5C_47_4V_1</t>
        </is>
      </c>
      <c r="B20" s="77" t="inlineStr">
        <is>
          <t>Tattu Ultra High Voltage 41000mAh 23.7V 5C 6S1P Lipo Battery Pack with QS8 Plug</t>
        </is>
      </c>
      <c r="C20" s="77" t="inlineStr">
        <is>
          <t>CELL_LIPO_GENERIC</t>
        </is>
      </c>
      <c r="D20" s="77" t="inlineStr">
        <is>
          <t>LIPO</t>
        </is>
      </c>
      <c r="E20" s="77" t="n">
        <v>6</v>
      </c>
      <c r="F20" s="77" t="n">
        <v>1</v>
      </c>
      <c r="G20" s="77" t="n">
        <v>6</v>
      </c>
      <c r="H20" s="77" t="n">
        <v>22.2</v>
      </c>
      <c r="I20" s="77" t="n">
        <v>25.2</v>
      </c>
      <c r="J20" s="77" t="n">
        <v>19.8</v>
      </c>
      <c r="K20" s="77" t="n">
        <v>41</v>
      </c>
      <c r="L20" s="77" t="n">
        <v>910.2</v>
      </c>
      <c r="M20" s="77" t="n">
        <v>7250</v>
      </c>
      <c r="N20" s="77" t="n">
        <v>125.5</v>
      </c>
      <c r="Q20" s="77" t="n">
        <v>205</v>
      </c>
      <c r="R20" s="77" t="n">
        <v>4551</v>
      </c>
      <c r="S20" s="77" t="n">
        <v>5</v>
      </c>
      <c r="T20" s="77" t="n">
        <v>6</v>
      </c>
      <c r="U20" s="77" t="n">
        <v>300</v>
      </c>
      <c r="V20" s="77" t="inlineStr">
        <is>
          <t>Industrial UAV</t>
        </is>
      </c>
      <c r="W20" s="77" t="inlineStr">
        <is>
          <t>Scraped from genstattu.com. https://genstattu.com/tattu-ultra-high-voltage-41000mah-5c-47-4v-12s1p-lipo-battery-with-qs8-plug/</t>
        </is>
      </c>
    </row>
    <row r="21">
      <c r="A21" s="77" t="inlineStr">
        <is>
          <t>TATTU_TATTU_ULTRA_HIGH_VOLTAGE_32000MAH_5C_23_7V_6</t>
        </is>
      </c>
      <c r="B21" s="77" t="inlineStr">
        <is>
          <t>Tattu Ultra High Voltage 32000mAh 23.7V 5C 6S1P G-Tech Lipo Battery Pack with XT90S Plug</t>
        </is>
      </c>
      <c r="C21" s="77" t="inlineStr">
        <is>
          <t>CELL_LIPO_GENERIC</t>
        </is>
      </c>
      <c r="D21" s="77" t="inlineStr">
        <is>
          <t>LIPO</t>
        </is>
      </c>
      <c r="E21" s="77" t="n">
        <v>6</v>
      </c>
      <c r="F21" s="77" t="n">
        <v>7</v>
      </c>
      <c r="G21" s="77" t="n">
        <v>42</v>
      </c>
      <c r="H21" s="77" t="n">
        <v>22.2</v>
      </c>
      <c r="I21" s="77" t="n">
        <v>25.2</v>
      </c>
      <c r="J21" s="77" t="n">
        <v>19.8</v>
      </c>
      <c r="K21" s="77" t="n">
        <v>32</v>
      </c>
      <c r="L21" s="77" t="n">
        <v>710.4</v>
      </c>
      <c r="M21" s="77" t="n">
        <v>3220</v>
      </c>
      <c r="N21" s="77" t="n">
        <v>220.6</v>
      </c>
      <c r="Q21" s="77" t="n">
        <v>160</v>
      </c>
      <c r="R21" s="77" t="n">
        <v>3552</v>
      </c>
      <c r="S21" s="77" t="n">
        <v>5</v>
      </c>
      <c r="T21" s="77" t="n">
        <v>42</v>
      </c>
      <c r="U21" s="77" t="n">
        <v>300</v>
      </c>
      <c r="V21" s="77" t="inlineStr">
        <is>
          <t>Industrial UAV</t>
        </is>
      </c>
      <c r="W21" s="77" t="inlineStr">
        <is>
          <t>Scraped from genstattu.com. https://genstattu.com/tattu-ultra-high-voltage-32000mah-5c-23-7v-6s1p-g-tech-lipo-battery-with-xt90s-f-plug/</t>
        </is>
      </c>
    </row>
    <row r="22">
      <c r="A22" s="77" t="inlineStr">
        <is>
          <t>TATTU_TATTU_ULTRA_HIGH_VOLTAGE_22000MAH_5C_23_7V_6</t>
        </is>
      </c>
      <c r="B22" s="77" t="inlineStr">
        <is>
          <t>Tattu Ultra High Voltage 22000mAh 23.7V 5C 6S1P G-Tech Lipo Battery Pack with XT90S Plug</t>
        </is>
      </c>
      <c r="C22" s="77" t="inlineStr">
        <is>
          <t>CELL_LIPO_GENERIC</t>
        </is>
      </c>
      <c r="D22" s="77" t="inlineStr">
        <is>
          <t>LIPO</t>
        </is>
      </c>
      <c r="E22" s="77" t="n">
        <v>6</v>
      </c>
      <c r="F22" s="77" t="n">
        <v>7</v>
      </c>
      <c r="G22" s="77" t="n">
        <v>42</v>
      </c>
      <c r="H22" s="77" t="n">
        <v>22.2</v>
      </c>
      <c r="I22" s="77" t="n">
        <v>25.2</v>
      </c>
      <c r="J22" s="77" t="n">
        <v>19.8</v>
      </c>
      <c r="K22" s="77" t="n">
        <v>22</v>
      </c>
      <c r="L22" s="77" t="n">
        <v>488.4</v>
      </c>
      <c r="M22" s="77" t="n">
        <v>2270</v>
      </c>
      <c r="N22" s="77" t="n">
        <v>215.2</v>
      </c>
      <c r="Q22" s="77" t="n">
        <v>110</v>
      </c>
      <c r="R22" s="77" t="n">
        <v>2442</v>
      </c>
      <c r="S22" s="77" t="n">
        <v>5</v>
      </c>
      <c r="T22" s="77" t="n">
        <v>42</v>
      </c>
      <c r="U22" s="77" t="n">
        <v>300</v>
      </c>
      <c r="V22" s="77" t="inlineStr">
        <is>
          <t>Industrial UAV</t>
        </is>
      </c>
      <c r="W22" s="77" t="inlineStr">
        <is>
          <t>Scraped from genstattu.com. https://genstattu.com/tattu-ultra-high-voltage-22000mah-5c-23-7v-6s1p-g-tech-lipo-battery-with-xt90s-f-plug/</t>
        </is>
      </c>
    </row>
    <row r="23">
      <c r="A23" s="77" t="inlineStr">
        <is>
          <t>TATTU_TATTU_ULTRA_HIGH_VOLTAGE_17000MAH_5C_23_7V_6</t>
        </is>
      </c>
      <c r="B23" s="77" t="inlineStr">
        <is>
          <t>Tattu Ultra High Voltage 17000mAh 5C 23.7V 6S1P G-Tech Lipo Battery with XT90S-F Plug</t>
        </is>
      </c>
      <c r="C23" s="77" t="inlineStr">
        <is>
          <t>CELL_LIPO_GENERIC</t>
        </is>
      </c>
      <c r="D23" s="77" t="inlineStr">
        <is>
          <t>LIPO</t>
        </is>
      </c>
      <c r="E23" s="77" t="n">
        <v>6</v>
      </c>
      <c r="F23" s="77" t="n">
        <v>7</v>
      </c>
      <c r="G23" s="77" t="n">
        <v>42</v>
      </c>
      <c r="H23" s="77" t="n">
        <v>22.2</v>
      </c>
      <c r="I23" s="77" t="n">
        <v>25.2</v>
      </c>
      <c r="J23" s="77" t="n">
        <v>19.8</v>
      </c>
      <c r="K23" s="77" t="n">
        <v>17</v>
      </c>
      <c r="L23" s="77" t="n">
        <v>377.4</v>
      </c>
      <c r="M23" s="77" t="n">
        <v>1760</v>
      </c>
      <c r="N23" s="77" t="n">
        <v>214.4</v>
      </c>
      <c r="Q23" s="77" t="n">
        <v>85</v>
      </c>
      <c r="R23" s="77" t="n">
        <v>1887</v>
      </c>
      <c r="S23" s="77" t="n">
        <v>5</v>
      </c>
      <c r="T23" s="77" t="n">
        <v>42</v>
      </c>
      <c r="U23" s="77" t="n">
        <v>300</v>
      </c>
      <c r="V23" s="77" t="inlineStr">
        <is>
          <t>Industrial UAV</t>
        </is>
      </c>
      <c r="W23" s="77" t="inlineStr">
        <is>
          <t>Scraped from genstattu.com. https://genstattu.com/tattu-ultra-high-voltage-17000mah-5c-23-7v-6s1p-g-tech-lipo-battery-with-xt90s-f-plug/</t>
        </is>
      </c>
    </row>
    <row r="24">
      <c r="A24" s="77" t="inlineStr">
        <is>
          <t>TATTU_TATTU_SEMI_SOLID_22000MAH_5C_22_2V_6S1P_XT90</t>
        </is>
      </c>
      <c r="B24" s="77" t="inlineStr">
        <is>
          <t>Tattu Semi Solid 22000mAh 22.2V 5C 6S1P G-Tech Lipo Battery Pack with XT90S Plug</t>
        </is>
      </c>
      <c r="C24" s="77" t="inlineStr">
        <is>
          <t>CELL_LIPO_GENERIC</t>
        </is>
      </c>
      <c r="D24" s="77" t="inlineStr">
        <is>
          <t>LIPO</t>
        </is>
      </c>
      <c r="E24" s="77" t="n">
        <v>6</v>
      </c>
      <c r="F24" s="77" t="n">
        <v>7</v>
      </c>
      <c r="G24" s="77" t="n">
        <v>42</v>
      </c>
      <c r="H24" s="77" t="n">
        <v>22.2</v>
      </c>
      <c r="I24" s="77" t="n">
        <v>25.2</v>
      </c>
      <c r="J24" s="77" t="n">
        <v>19.8</v>
      </c>
      <c r="K24" s="77" t="n">
        <v>22</v>
      </c>
      <c r="L24" s="77" t="n">
        <v>488.4</v>
      </c>
      <c r="M24" s="77" t="n">
        <v>2250</v>
      </c>
      <c r="N24" s="77" t="n">
        <v>217.1</v>
      </c>
      <c r="Q24" s="77" t="n">
        <v>110</v>
      </c>
      <c r="R24" s="77" t="n">
        <v>2442</v>
      </c>
      <c r="S24" s="77" t="n">
        <v>5</v>
      </c>
      <c r="T24" s="77" t="n">
        <v>42</v>
      </c>
      <c r="U24" s="77" t="n">
        <v>300</v>
      </c>
      <c r="V24" s="77" t="inlineStr">
        <is>
          <t>Industrial UAV</t>
        </is>
      </c>
      <c r="W24" s="77" t="inlineStr">
        <is>
          <t>Scraped from genstattu.com. https://genstattu.com/tattu-semi-solid-22000mah-5c-22-2v-6s1p-xt90s-f-g-tech-lipo-battery/</t>
        </is>
      </c>
    </row>
    <row r="25">
      <c r="A25" s="77" t="inlineStr">
        <is>
          <t>TATTU_TATTU_SEMI_SOLID_17000MAH_5C_22_2V_6S1P_G_TE</t>
        </is>
      </c>
      <c r="B25" s="77" t="inlineStr">
        <is>
          <t>Tattu Semi Solid 17000mAh 22.2V 5C 6S1P G-Tech Lipo Battery Pack with XT90S Plug</t>
        </is>
      </c>
      <c r="C25" s="77" t="inlineStr">
        <is>
          <t>CELL_LIPO_GENERIC</t>
        </is>
      </c>
      <c r="D25" s="77" t="inlineStr">
        <is>
          <t>LIPO</t>
        </is>
      </c>
      <c r="E25" s="77" t="n">
        <v>6</v>
      </c>
      <c r="F25" s="77" t="n">
        <v>7</v>
      </c>
      <c r="G25" s="77" t="n">
        <v>42</v>
      </c>
      <c r="H25" s="77" t="n">
        <v>22.2</v>
      </c>
      <c r="I25" s="77" t="n">
        <v>25.2</v>
      </c>
      <c r="J25" s="77" t="n">
        <v>19.8</v>
      </c>
      <c r="K25" s="77" t="n">
        <v>17</v>
      </c>
      <c r="L25" s="77" t="n">
        <v>377.4</v>
      </c>
      <c r="M25" s="77" t="n">
        <v>1600</v>
      </c>
      <c r="N25" s="77" t="n">
        <v>235.9</v>
      </c>
      <c r="Q25" s="77" t="n">
        <v>85</v>
      </c>
      <c r="R25" s="77" t="n">
        <v>1887</v>
      </c>
      <c r="S25" s="77" t="n">
        <v>5</v>
      </c>
      <c r="T25" s="77" t="n">
        <v>42</v>
      </c>
      <c r="U25" s="77" t="n">
        <v>300</v>
      </c>
      <c r="V25" s="77" t="inlineStr">
        <is>
          <t>Industrial UAV</t>
        </is>
      </c>
      <c r="W25" s="77" t="inlineStr">
        <is>
          <t>Scraped from genstattu.com. https://genstattu.com/tattu-semi-solid-17000mah-5c-22-2v-6s1p-g-tech-lipo-battery-with-xt90s-f/</t>
        </is>
      </c>
    </row>
    <row r="26">
      <c r="A26" s="77" t="inlineStr">
        <is>
          <t>TATTU_TATTU_SEMI_SOLID_STATE_30000MAH_5C_44_4V_12S</t>
        </is>
      </c>
      <c r="B26" s="77" t="inlineStr">
        <is>
          <t>Tattu Sem-solid State 30000mAh 44.4V 5C 12S1P G-Tech Lipo Battery Pack with XT90S Plug</t>
        </is>
      </c>
      <c r="C26" s="77" t="inlineStr">
        <is>
          <t>CELL_LIPO_GENERIC</t>
        </is>
      </c>
      <c r="D26" s="77" t="inlineStr">
        <is>
          <t>LIPO</t>
        </is>
      </c>
      <c r="E26" s="77" t="n">
        <v>12</v>
      </c>
      <c r="F26" s="77" t="n">
        <v>1</v>
      </c>
      <c r="G26" s="77" t="n">
        <v>12</v>
      </c>
      <c r="H26" s="77" t="n">
        <v>44.4</v>
      </c>
      <c r="I26" s="77" t="n">
        <v>50.4</v>
      </c>
      <c r="J26" s="77" t="n">
        <v>39.6</v>
      </c>
      <c r="K26" s="77" t="n">
        <v>30</v>
      </c>
      <c r="L26" s="77" t="n">
        <v>1332</v>
      </c>
      <c r="M26" s="77" t="n">
        <v>4900</v>
      </c>
      <c r="N26" s="77" t="n">
        <v>271.8</v>
      </c>
      <c r="Q26" s="77" t="n">
        <v>150</v>
      </c>
      <c r="R26" s="77" t="n">
        <v>6660</v>
      </c>
      <c r="S26" s="77" t="n">
        <v>5</v>
      </c>
      <c r="T26" s="77" t="n">
        <v>12</v>
      </c>
      <c r="U26" s="77" t="n">
        <v>300</v>
      </c>
      <c r="V26" s="77" t="inlineStr">
        <is>
          <t>Industrial UAV</t>
        </is>
      </c>
      <c r="W26" s="77" t="inlineStr">
        <is>
          <t>Scraped from genstattu.com. https://genstattu.com/tattu-semi-solid-state-30000mah-5c-44-4v-12s1p-lipo-battery-pack-with-as150u-f/</t>
        </is>
      </c>
    </row>
    <row r="27">
      <c r="A27" s="77" t="inlineStr">
        <is>
          <t>TATTU_TATTU_SEMI_SOLID_STATE_30000MAH_22_2V_5C_6S1</t>
        </is>
      </c>
      <c r="B27" s="77" t="inlineStr">
        <is>
          <t>Tattu Semi Solid 30000mAh 22.2V 5C 6S1P G-Tech Lipo Battery Pack with XT90S Plug</t>
        </is>
      </c>
      <c r="C27" s="77" t="inlineStr">
        <is>
          <t>CELL_LIPO_GENERIC</t>
        </is>
      </c>
      <c r="D27" s="77" t="inlineStr">
        <is>
          <t>LIPO</t>
        </is>
      </c>
      <c r="E27" s="77" t="n">
        <v>6</v>
      </c>
      <c r="F27" s="77" t="n">
        <v>7</v>
      </c>
      <c r="G27" s="77" t="n">
        <v>42</v>
      </c>
      <c r="H27" s="77" t="n">
        <v>22.2</v>
      </c>
      <c r="I27" s="77" t="n">
        <v>25.2</v>
      </c>
      <c r="J27" s="77" t="n">
        <v>19.8</v>
      </c>
      <c r="K27" s="77" t="n">
        <v>30</v>
      </c>
      <c r="L27" s="77" t="n">
        <v>666</v>
      </c>
      <c r="M27" s="77" t="n">
        <v>2525</v>
      </c>
      <c r="N27" s="77" t="n">
        <v>263.8</v>
      </c>
      <c r="Q27" s="77" t="n">
        <v>150</v>
      </c>
      <c r="R27" s="77" t="n">
        <v>3330</v>
      </c>
      <c r="S27" s="77" t="n">
        <v>5</v>
      </c>
      <c r="T27" s="77" t="n">
        <v>42</v>
      </c>
      <c r="U27" s="77" t="n">
        <v>300</v>
      </c>
      <c r="V27" s="77" t="inlineStr">
        <is>
          <t>Industrial UAV</t>
        </is>
      </c>
      <c r="W27" s="77" t="inlineStr">
        <is>
          <t>Scraped from genstattu.com. https://genstattu.com/tattu-semi-solid-state-30000mah-22-2v-5c-6s1p-g-tech-lipo-battery-pack-with-xt90-s-plug/</t>
        </is>
      </c>
    </row>
    <row r="28">
      <c r="A28" s="77" t="inlineStr">
        <is>
          <t>TATTU_TATTU_4_0_20000MAH_53_2V_14S1P_35C_LIPO_SMAR</t>
        </is>
      </c>
      <c r="B28" s="77" t="inlineStr">
        <is>
          <t>Tattu 4.0 20000mAh 53.2V 25C 14S1P Lipo Smart Battery Pack with MOLEX Plug</t>
        </is>
      </c>
      <c r="C28" s="77" t="inlineStr">
        <is>
          <t>CELL_LIPO_GENERIC</t>
        </is>
      </c>
      <c r="D28" s="77" t="inlineStr">
        <is>
          <t>LIPO</t>
        </is>
      </c>
      <c r="E28" s="77" t="n">
        <v>14</v>
      </c>
      <c r="F28" s="77" t="n">
        <v>1</v>
      </c>
      <c r="G28" s="77" t="n">
        <v>14</v>
      </c>
      <c r="H28" s="77" t="n">
        <v>51.8</v>
      </c>
      <c r="I28" s="77" t="n">
        <v>58.8</v>
      </c>
      <c r="J28" s="77" t="n">
        <v>46.2</v>
      </c>
      <c r="K28" s="77" t="n">
        <v>20</v>
      </c>
      <c r="L28" s="77" t="n">
        <v>1036</v>
      </c>
      <c r="M28" s="77" t="n">
        <v>7900</v>
      </c>
      <c r="N28" s="77" t="n">
        <v>131.1</v>
      </c>
      <c r="Q28" s="77" t="n">
        <v>500</v>
      </c>
      <c r="R28" s="77" t="n">
        <v>25900</v>
      </c>
      <c r="S28" s="77" t="n">
        <v>25</v>
      </c>
      <c r="T28" s="77" t="n">
        <v>14</v>
      </c>
      <c r="U28" s="77" t="n">
        <v>300</v>
      </c>
      <c r="V28" s="77" t="inlineStr">
        <is>
          <t>Industrial UAV</t>
        </is>
      </c>
      <c r="W28" s="77" t="inlineStr">
        <is>
          <t>Scraped from genstattu.com. https://genstattu.com/tattu-4-0-20000mah-53-2v-14s1p-35c-lipo-smart-battery-pack-with-molex-plug/</t>
        </is>
      </c>
    </row>
    <row r="29">
      <c r="A29" s="77" t="inlineStr">
        <is>
          <t>TATTU_TATTU_AGRI_22000MAH_44_4V_25C_12S1P_LIPO_BAT</t>
        </is>
      </c>
      <c r="B29" s="77" t="inlineStr">
        <is>
          <t>Tattu AGRI 22000mAh 44.4V 25C 12S1P Lipo Smart Battery Pack with AS150U-F Plug</t>
        </is>
      </c>
      <c r="C29" s="77" t="inlineStr">
        <is>
          <t>CELL_LIPO_GENERIC</t>
        </is>
      </c>
      <c r="D29" s="77" t="inlineStr">
        <is>
          <t>LIPO</t>
        </is>
      </c>
      <c r="E29" s="77" t="n">
        <v>12</v>
      </c>
      <c r="F29" s="77" t="n">
        <v>1</v>
      </c>
      <c r="G29" s="77" t="n">
        <v>12</v>
      </c>
      <c r="H29" s="77" t="n">
        <v>44.4</v>
      </c>
      <c r="I29" s="77" t="n">
        <v>50.4</v>
      </c>
      <c r="J29" s="77" t="n">
        <v>39.6</v>
      </c>
      <c r="K29" s="77" t="n">
        <v>22</v>
      </c>
      <c r="L29" s="77" t="n">
        <v>976.8</v>
      </c>
      <c r="M29" s="77" t="n">
        <v>5850</v>
      </c>
      <c r="N29" s="77" t="n">
        <v>167</v>
      </c>
      <c r="Q29" s="77" t="n">
        <v>550</v>
      </c>
      <c r="R29" s="77" t="n">
        <v>24420</v>
      </c>
      <c r="S29" s="77" t="n">
        <v>25</v>
      </c>
      <c r="T29" s="77" t="n">
        <v>12</v>
      </c>
      <c r="U29" s="77" t="n">
        <v>300</v>
      </c>
      <c r="V29" s="77" t="inlineStr">
        <is>
          <t>Industrial UAV</t>
        </is>
      </c>
      <c r="W29" s="77" t="inlineStr">
        <is>
          <t>Scraped from genstattu.com. https://genstattu.com/tattu-agri-22000mah-44-4v-25c-12s1p-lipo-battery-pack-with-as150-f/</t>
        </is>
      </c>
    </row>
    <row r="30">
      <c r="A30" s="77" t="inlineStr">
        <is>
          <t>TATTU_TATTU_AGRI_16000MAH_44_4V_15C_12S1P_LIPO_BAT</t>
        </is>
      </c>
      <c r="B30" s="77" t="inlineStr">
        <is>
          <t>Tattu AGRI 16000mAh 44.4V 15C 12S1P Lipo Smart Battery Pack with AS150U-F Plug</t>
        </is>
      </c>
      <c r="C30" s="77" t="inlineStr">
        <is>
          <t>CELL_LIPO_GENERIC</t>
        </is>
      </c>
      <c r="D30" s="77" t="inlineStr">
        <is>
          <t>LIPO</t>
        </is>
      </c>
      <c r="E30" s="77" t="n">
        <v>12</v>
      </c>
      <c r="F30" s="77" t="n">
        <v>1</v>
      </c>
      <c r="G30" s="77" t="n">
        <v>12</v>
      </c>
      <c r="H30" s="77" t="n">
        <v>44.4</v>
      </c>
      <c r="I30" s="77" t="n">
        <v>50.4</v>
      </c>
      <c r="J30" s="77" t="n">
        <v>39.6</v>
      </c>
      <c r="K30" s="77" t="n">
        <v>16</v>
      </c>
      <c r="L30" s="77" t="n">
        <v>710.4</v>
      </c>
      <c r="M30" s="77" t="n">
        <v>5850</v>
      </c>
      <c r="N30" s="77" t="n">
        <v>121.4</v>
      </c>
      <c r="Q30" s="77" t="n">
        <v>240</v>
      </c>
      <c r="R30" s="77" t="n">
        <v>10656</v>
      </c>
      <c r="S30" s="77" t="n">
        <v>15</v>
      </c>
      <c r="T30" s="77" t="n">
        <v>12</v>
      </c>
      <c r="U30" s="77" t="n">
        <v>300</v>
      </c>
      <c r="V30" s="77" t="inlineStr">
        <is>
          <t>Industrial UAV</t>
        </is>
      </c>
      <c r="W30" s="77" t="inlineStr">
        <is>
          <t>Scraped from genstattu.com. https://genstattu.com/tattu-agri-16000mah-44-4v-15c-12s1p-lipo-battery-pack-with-as150-f/</t>
        </is>
      </c>
    </row>
    <row r="31">
      <c r="A31" s="77" t="inlineStr">
        <is>
          <t>TATTU_TATTU_AGRI_22000MAH_45_6V_25C_12S1P_HIGH_VOL</t>
        </is>
      </c>
      <c r="B31" s="77" t="inlineStr">
        <is>
          <t>Tattu AGRI 22000mAh 45.6V 25C 12S1P HV Lipo Smart Battery Pack with AS150U-F Plug</t>
        </is>
      </c>
      <c r="C31" s="77" t="inlineStr">
        <is>
          <t>CELL_LIPO_GENERIC</t>
        </is>
      </c>
      <c r="D31" s="77" t="inlineStr">
        <is>
          <t>LIPO</t>
        </is>
      </c>
      <c r="E31" s="77" t="n">
        <v>12</v>
      </c>
      <c r="F31" s="77" t="n">
        <v>1</v>
      </c>
      <c r="G31" s="77" t="n">
        <v>12</v>
      </c>
      <c r="H31" s="77" t="n">
        <v>44.4</v>
      </c>
      <c r="I31" s="77" t="n">
        <v>50.4</v>
      </c>
      <c r="J31" s="77" t="n">
        <v>39.6</v>
      </c>
      <c r="K31" s="77" t="n">
        <v>22</v>
      </c>
      <c r="L31" s="77" t="n">
        <v>976.8</v>
      </c>
      <c r="M31" s="77" t="n">
        <v>5850</v>
      </c>
      <c r="N31" s="77" t="n">
        <v>167</v>
      </c>
      <c r="Q31" s="77" t="n">
        <v>550</v>
      </c>
      <c r="R31" s="77" t="n">
        <v>24420</v>
      </c>
      <c r="S31" s="77" t="n">
        <v>25</v>
      </c>
      <c r="T31" s="77" t="n">
        <v>12</v>
      </c>
      <c r="U31" s="77" t="n">
        <v>300</v>
      </c>
      <c r="V31" s="77" t="inlineStr">
        <is>
          <t>Industrial UAV</t>
        </is>
      </c>
      <c r="W31" s="77" t="inlineStr">
        <is>
          <t>Scraped from genstattu.com. https://genstattu.com/tattu-agri-22000mah-45-6v-25c-12s1p-high-voltage-lipo-battery-pack-with-as150-f/</t>
        </is>
      </c>
    </row>
    <row r="32">
      <c r="A32" s="77" t="inlineStr">
        <is>
          <t>TATTU_TATTU_AGRI_16000MAH_45_6V_25C_12S1P_HIGH_VOL</t>
        </is>
      </c>
      <c r="B32" s="77" t="inlineStr">
        <is>
          <t>Tattu AGRI 16000mAh 45.6V 25C 12S1P HV Lipo Smart Battery Pack with AS150U-F Plug</t>
        </is>
      </c>
      <c r="C32" s="77" t="inlineStr">
        <is>
          <t>CELL_LIPO_GENERIC</t>
        </is>
      </c>
      <c r="D32" s="77" t="inlineStr">
        <is>
          <t>LIPO</t>
        </is>
      </c>
      <c r="E32" s="77" t="n">
        <v>12</v>
      </c>
      <c r="F32" s="77" t="n">
        <v>1</v>
      </c>
      <c r="G32" s="77" t="n">
        <v>12</v>
      </c>
      <c r="H32" s="77" t="n">
        <v>44.4</v>
      </c>
      <c r="I32" s="77" t="n">
        <v>50.4</v>
      </c>
      <c r="J32" s="77" t="n">
        <v>39.6</v>
      </c>
      <c r="K32" s="77" t="n">
        <v>16</v>
      </c>
      <c r="L32" s="77" t="n">
        <v>710.4</v>
      </c>
      <c r="M32" s="77" t="n">
        <v>4550</v>
      </c>
      <c r="N32" s="77" t="n">
        <v>156.1</v>
      </c>
      <c r="Q32" s="77" t="n">
        <v>400</v>
      </c>
      <c r="R32" s="77" t="n">
        <v>17760</v>
      </c>
      <c r="S32" s="77" t="n">
        <v>25</v>
      </c>
      <c r="T32" s="77" t="n">
        <v>12</v>
      </c>
      <c r="U32" s="77" t="n">
        <v>300</v>
      </c>
      <c r="V32" s="77" t="inlineStr">
        <is>
          <t>Industrial UAV</t>
        </is>
      </c>
      <c r="W32" s="77" t="inlineStr">
        <is>
          <t>Scraped from genstattu.com. https://genstattu.com/tattu-agri-16000mah-45-6v-25c-12s1p-high-voltage-lipo-battery-pack-with-as150u-f/</t>
        </is>
      </c>
    </row>
    <row r="33">
      <c r="A33" s="77" t="inlineStr">
        <is>
          <t>TATTU_TATTU_PRO_22000MAH_53_2V_25C_14S1P_HV_LIPO_S</t>
        </is>
      </c>
      <c r="B33" s="77" t="inlineStr">
        <is>
          <t>Tattu Pro 22000mAh 53.2V 25C 14S1P HV Lipo Smart Battery Pack with AS150U-F Plug</t>
        </is>
      </c>
      <c r="C33" s="77" t="inlineStr">
        <is>
          <t>CELL_LIPO_GENERIC</t>
        </is>
      </c>
      <c r="D33" s="77" t="inlineStr">
        <is>
          <t>LIPO</t>
        </is>
      </c>
      <c r="E33" s="77" t="n">
        <v>14</v>
      </c>
      <c r="F33" s="77" t="n">
        <v>1</v>
      </c>
      <c r="G33" s="77" t="n">
        <v>14</v>
      </c>
      <c r="H33" s="77" t="n">
        <v>51.8</v>
      </c>
      <c r="I33" s="77" t="n">
        <v>58.8</v>
      </c>
      <c r="J33" s="77" t="n">
        <v>46.2</v>
      </c>
      <c r="K33" s="77" t="n">
        <v>22</v>
      </c>
      <c r="L33" s="77" t="n">
        <v>1139.6</v>
      </c>
      <c r="M33" s="77" t="n">
        <v>6550</v>
      </c>
      <c r="N33" s="77" t="n">
        <v>174</v>
      </c>
      <c r="Q33" s="77" t="n">
        <v>550</v>
      </c>
      <c r="R33" s="77" t="n">
        <v>28490</v>
      </c>
      <c r="S33" s="77" t="n">
        <v>25</v>
      </c>
      <c r="T33" s="77" t="n">
        <v>14</v>
      </c>
      <c r="U33" s="77" t="n">
        <v>300</v>
      </c>
      <c r="V33" s="77" t="inlineStr">
        <is>
          <t>Industrial UAV</t>
        </is>
      </c>
      <c r="W33" s="77" t="inlineStr">
        <is>
          <t>Scraped from genstattu.com. https://genstattu.com/tattu-pro-22000mah-53-2v-25c-14s1p-hv-lipo-smart-battery-pack-with-as150u-f-plug/</t>
        </is>
      </c>
    </row>
    <row r="34">
      <c r="A34" s="77" t="inlineStr">
        <is>
          <t>TATTU_TATTU_PRO_22000MAH_45_6V_25C_12S1P_HV_LIPO_S</t>
        </is>
      </c>
      <c r="B34" s="77" t="inlineStr">
        <is>
          <t>Tattu Pro 22000mAh 45.6V 25C 12S1P HV Lipo Smart Battery Pack with AS150U-F Plug</t>
        </is>
      </c>
      <c r="C34" s="77" t="inlineStr">
        <is>
          <t>CELL_LIPO_GENERIC</t>
        </is>
      </c>
      <c r="D34" s="77" t="inlineStr">
        <is>
          <t>LIPO</t>
        </is>
      </c>
      <c r="E34" s="77" t="n">
        <v>12</v>
      </c>
      <c r="F34" s="77" t="n">
        <v>1</v>
      </c>
      <c r="G34" s="77" t="n">
        <v>12</v>
      </c>
      <c r="H34" s="77" t="n">
        <v>44.4</v>
      </c>
      <c r="I34" s="77" t="n">
        <v>50.4</v>
      </c>
      <c r="J34" s="77" t="n">
        <v>39.6</v>
      </c>
      <c r="K34" s="77" t="n">
        <v>22</v>
      </c>
      <c r="L34" s="77" t="n">
        <v>976.8</v>
      </c>
      <c r="M34" s="77" t="n">
        <v>5750</v>
      </c>
      <c r="N34" s="77" t="n">
        <v>169.9</v>
      </c>
      <c r="Q34" s="77" t="n">
        <v>550</v>
      </c>
      <c r="R34" s="77" t="n">
        <v>24420</v>
      </c>
      <c r="S34" s="77" t="n">
        <v>25</v>
      </c>
      <c r="T34" s="77" t="n">
        <v>12</v>
      </c>
      <c r="U34" s="77" t="n">
        <v>300</v>
      </c>
      <c r="V34" s="77" t="inlineStr">
        <is>
          <t>Industrial UAV</t>
        </is>
      </c>
      <c r="W34" s="77" t="inlineStr">
        <is>
          <t>Scraped from genstattu.com. https://genstattu.com/tattu-pro-22000mah-45-6v-25c-12s1p-hv-lipo-smart-battery-pack-with-as150u-f-plug/</t>
        </is>
      </c>
    </row>
    <row r="35">
      <c r="A35" s="77" t="inlineStr">
        <is>
          <t>TATTU_TATTU_3S_6000MAH_15C_11_4V_G_TECH_LIPO_BATTE</t>
        </is>
      </c>
      <c r="B35" s="77" t="inlineStr">
        <is>
          <t>Tattu 3S 6000mAh 15C 11.4V G-tech Lipo Battery Pack with XT60 Plug</t>
        </is>
      </c>
      <c r="C35" s="77" t="inlineStr">
        <is>
          <t>CELL_LIPO_GENERIC</t>
        </is>
      </c>
      <c r="D35" s="77" t="inlineStr">
        <is>
          <t>LIPO</t>
        </is>
      </c>
      <c r="E35" s="77" t="n">
        <v>3</v>
      </c>
      <c r="F35" s="77" t="n">
        <v>4</v>
      </c>
      <c r="G35" s="77" t="n">
        <v>12</v>
      </c>
      <c r="H35" s="77" t="n">
        <v>11.1</v>
      </c>
      <c r="I35" s="77" t="n">
        <v>12.6</v>
      </c>
      <c r="J35" s="77" t="n">
        <v>9.9</v>
      </c>
      <c r="K35" s="77" t="n">
        <v>6</v>
      </c>
      <c r="L35" s="77" t="n">
        <v>66.59999999999999</v>
      </c>
      <c r="M35" s="77" t="n">
        <v>385</v>
      </c>
      <c r="N35" s="77" t="n">
        <v>173</v>
      </c>
      <c r="Q35" s="77" t="n">
        <v>90</v>
      </c>
      <c r="R35" s="77" t="n">
        <v>999</v>
      </c>
      <c r="S35" s="77" t="n">
        <v>15</v>
      </c>
      <c r="T35" s="77" t="n">
        <v>12</v>
      </c>
      <c r="U35" s="77" t="n">
        <v>300</v>
      </c>
      <c r="V35" s="77" t="inlineStr">
        <is>
          <t>Industrial UAV</t>
        </is>
      </c>
      <c r="W35" s="77" t="inlineStr">
        <is>
          <t>Scraped from genstattu.com. https://genstattu.com/tattu-3s-6000mah-15c-11-4v-g-tech-lipo-battery-pack-with-xt60-plug/</t>
        </is>
      </c>
    </row>
    <row r="36">
      <c r="A36" s="77" t="inlineStr">
        <is>
          <t>TATTU_TATTU_PLUS_1_0_COMPACT_VERSION_10000MAH_44_4</t>
        </is>
      </c>
      <c r="B36" s="77" t="inlineStr">
        <is>
          <t>Tattu Plus 1.0 Compact Version 10000mAh 44.4V 15C 12S1P Lipo Smart Battery Pack with AS150U Plug</t>
        </is>
      </c>
      <c r="C36" s="77" t="inlineStr">
        <is>
          <t>CELL_LIPO_GENERIC</t>
        </is>
      </c>
      <c r="D36" s="77" t="inlineStr">
        <is>
          <t>LIPO</t>
        </is>
      </c>
      <c r="E36" s="77" t="n">
        <v>12</v>
      </c>
      <c r="F36" s="77" t="n">
        <v>1</v>
      </c>
      <c r="G36" s="77" t="n">
        <v>12</v>
      </c>
      <c r="H36" s="77" t="n">
        <v>44.4</v>
      </c>
      <c r="I36" s="77" t="n">
        <v>50.4</v>
      </c>
      <c r="J36" s="77" t="n">
        <v>39.6</v>
      </c>
      <c r="K36" s="77" t="n">
        <v>10</v>
      </c>
      <c r="L36" s="77" t="n">
        <v>444</v>
      </c>
      <c r="M36" s="77" t="n">
        <v>2978</v>
      </c>
      <c r="N36" s="77" t="n">
        <v>149.1</v>
      </c>
      <c r="Q36" s="77" t="n">
        <v>150</v>
      </c>
      <c r="R36" s="77" t="n">
        <v>6660</v>
      </c>
      <c r="S36" s="77" t="n">
        <v>15</v>
      </c>
      <c r="T36" s="77" t="n">
        <v>12</v>
      </c>
      <c r="U36" s="77" t="n">
        <v>300</v>
      </c>
      <c r="V36" s="77" t="inlineStr">
        <is>
          <t>Industrial UAV</t>
        </is>
      </c>
      <c r="W36" s="77" t="inlineStr">
        <is>
          <t>Scraped from genstattu.com. https://genstattu.com/tattu-plus-1-0-compact-version-10000mah-44-4v-15c-12s1p-lipo-smart-battery-pack-with-as150uplug/</t>
        </is>
      </c>
    </row>
    <row r="37">
      <c r="A37" s="77" t="inlineStr">
        <is>
          <t>TATTU_TATTU_PLUS_22000MAH_44_4V_25C_12S1P_LIPO_SMA</t>
        </is>
      </c>
      <c r="B37" s="77" t="inlineStr">
        <is>
          <t>Tattu plus 22000mAh 12S1P Lipo Smart Battery Pack with AS150-F Plug</t>
        </is>
      </c>
      <c r="C37" s="77" t="inlineStr">
        <is>
          <t>CELL_LIPO_GENERIC</t>
        </is>
      </c>
      <c r="D37" s="77" t="inlineStr">
        <is>
          <t>LIPO</t>
        </is>
      </c>
      <c r="E37" s="77" t="n">
        <v>12</v>
      </c>
      <c r="F37" s="77" t="n">
        <v>1</v>
      </c>
      <c r="G37" s="77" t="n">
        <v>12</v>
      </c>
      <c r="H37" s="77" t="n">
        <v>44.4</v>
      </c>
      <c r="I37" s="77" t="n">
        <v>50.4</v>
      </c>
      <c r="J37" s="77" t="n">
        <v>39.6</v>
      </c>
      <c r="K37" s="77" t="n">
        <v>22</v>
      </c>
      <c r="L37" s="77" t="n">
        <v>976.8</v>
      </c>
      <c r="M37" s="77" t="n">
        <v>5800</v>
      </c>
      <c r="N37" s="77" t="n">
        <v>168.4</v>
      </c>
      <c r="Q37" s="77" t="n">
        <v>550</v>
      </c>
      <c r="R37" s="77" t="n">
        <v>24420</v>
      </c>
      <c r="S37" s="77" t="n">
        <v>25</v>
      </c>
      <c r="T37" s="77" t="n">
        <v>12</v>
      </c>
      <c r="U37" s="77" t="n">
        <v>300</v>
      </c>
      <c r="V37" s="77" t="inlineStr">
        <is>
          <t>Industrial UAV</t>
        </is>
      </c>
      <c r="W37" s="77" t="inlineStr">
        <is>
          <t>Scraped from genstattu.com. https://genstattu.com/tattu-plus-22000mah-44-4v-25c-12s1p-lipo-smart-battery-pack-with-as150-plug/</t>
        </is>
      </c>
    </row>
    <row r="38">
      <c r="A38" s="77" t="inlineStr">
        <is>
          <t>TATTU_TATTU_SEMI_SOLID_STATE_20000MAH_6S_5C_22_2V_</t>
        </is>
      </c>
      <c r="B38" s="77" t="inlineStr">
        <is>
          <t>Tattu Semi-Solid State 6S 20000mAh 22.2V 5C LiPo Battery with XT90-S Plug for UAV</t>
        </is>
      </c>
      <c r="C38" s="77" t="inlineStr">
        <is>
          <t>CELL_LIPO_GENERIC</t>
        </is>
      </c>
      <c r="D38" s="77" t="inlineStr">
        <is>
          <t>LIPO</t>
        </is>
      </c>
      <c r="E38" s="77" t="n">
        <v>6</v>
      </c>
      <c r="F38" s="77" t="n">
        <v>7</v>
      </c>
      <c r="G38" s="77" t="n">
        <v>42</v>
      </c>
      <c r="H38" s="77" t="n">
        <v>22.2</v>
      </c>
      <c r="I38" s="77" t="n">
        <v>25.2</v>
      </c>
      <c r="J38" s="77" t="n">
        <v>19.8</v>
      </c>
      <c r="K38" s="77" t="n">
        <v>20</v>
      </c>
      <c r="L38" s="77" t="n">
        <v>444</v>
      </c>
      <c r="M38" s="77" t="n">
        <v>1000</v>
      </c>
      <c r="N38" s="77" t="n">
        <v>444</v>
      </c>
      <c r="Q38" s="77" t="n">
        <v>100</v>
      </c>
      <c r="R38" s="77" t="n">
        <v>2220</v>
      </c>
      <c r="S38" s="77" t="n">
        <v>5</v>
      </c>
      <c r="T38" s="77" t="n">
        <v>42</v>
      </c>
      <c r="U38" s="77" t="n">
        <v>300</v>
      </c>
      <c r="V38" s="77" t="inlineStr">
        <is>
          <t>Industrial UAV</t>
        </is>
      </c>
      <c r="W38" s="77" t="inlineStr">
        <is>
          <t>Scraped from genstattu.com. https://genstattu.com/tattu-semi-solid-state-20000mah-6s-5c-22-2v-lipo-battery-pack-with-xt90s-plug/</t>
        </is>
      </c>
    </row>
    <row r="39">
      <c r="A39" s="77" t="inlineStr">
        <is>
          <t>TATTU_TATTU_G_TECH_4S_22000MAH_14_8V_25C_LIPO_BATT</t>
        </is>
      </c>
      <c r="B39" s="77" t="inlineStr">
        <is>
          <t>Tattu G-Tech 4S 22000mAh 14.8V 25C Lipo Battery with XT90-S Plug for UAV</t>
        </is>
      </c>
      <c r="C39" s="77" t="inlineStr">
        <is>
          <t>CELL_LIPO_GENERIC</t>
        </is>
      </c>
      <c r="D39" s="77" t="inlineStr">
        <is>
          <t>LIPO</t>
        </is>
      </c>
      <c r="E39" s="77" t="n">
        <v>4</v>
      </c>
      <c r="F39" s="77" t="n">
        <v>5</v>
      </c>
      <c r="G39" s="77" t="n">
        <v>20</v>
      </c>
      <c r="H39" s="77" t="n">
        <v>14.8</v>
      </c>
      <c r="I39" s="77" t="n">
        <v>16.8</v>
      </c>
      <c r="J39" s="77" t="n">
        <v>13.2</v>
      </c>
      <c r="K39" s="77" t="n">
        <v>22</v>
      </c>
      <c r="L39" s="77" t="n">
        <v>325.6</v>
      </c>
      <c r="M39" s="77" t="n">
        <v>1000</v>
      </c>
      <c r="N39" s="77" t="n">
        <v>325.6</v>
      </c>
      <c r="Q39" s="77" t="n">
        <v>550</v>
      </c>
      <c r="R39" s="77" t="n">
        <v>8140</v>
      </c>
      <c r="S39" s="77" t="n">
        <v>25</v>
      </c>
      <c r="T39" s="77" t="n">
        <v>20</v>
      </c>
      <c r="U39" s="77" t="n">
        <v>300</v>
      </c>
      <c r="V39" s="77" t="inlineStr">
        <is>
          <t>Industrial UAV</t>
        </is>
      </c>
      <c r="W39" s="77" t="inlineStr">
        <is>
          <t>Scraped from genstattu.com. https://genstattu.com/tattu-g-tech-4s-22000mah-14-8v-25c-lipo-battery-with-xt90-s-plug-for-uav/</t>
        </is>
      </c>
    </row>
    <row r="40">
      <c r="A40" s="77" t="inlineStr">
        <is>
          <t>TATTU_TATTU_G_TECH_30000MAH_6S_22_2V_25C_LIPO_BATT</t>
        </is>
      </c>
      <c r="B40" s="77" t="inlineStr">
        <is>
          <t>Tattu G-Tech 30000mAh 6S 22.2V 25C Lipo Battery Pack with AS150U-F Plug</t>
        </is>
      </c>
      <c r="C40" s="77" t="inlineStr">
        <is>
          <t>CELL_LIPO_GENERIC</t>
        </is>
      </c>
      <c r="D40" s="77" t="inlineStr">
        <is>
          <t>LIPO</t>
        </is>
      </c>
      <c r="E40" s="77" t="n">
        <v>6</v>
      </c>
      <c r="F40" s="77" t="n">
        <v>7</v>
      </c>
      <c r="G40" s="77" t="n">
        <v>42</v>
      </c>
      <c r="H40" s="77" t="n">
        <v>22.2</v>
      </c>
      <c r="I40" s="77" t="n">
        <v>25.2</v>
      </c>
      <c r="J40" s="77" t="n">
        <v>19.8</v>
      </c>
      <c r="K40" s="77" t="n">
        <v>30</v>
      </c>
      <c r="L40" s="77" t="n">
        <v>666</v>
      </c>
      <c r="M40" s="77" t="n">
        <v>3500</v>
      </c>
      <c r="N40" s="77" t="n">
        <v>190.3</v>
      </c>
      <c r="Q40" s="77" t="n">
        <v>750</v>
      </c>
      <c r="R40" s="77" t="n">
        <v>16650</v>
      </c>
      <c r="S40" s="77" t="n">
        <v>25</v>
      </c>
      <c r="T40" s="77" t="n">
        <v>42</v>
      </c>
      <c r="U40" s="77" t="n">
        <v>300</v>
      </c>
      <c r="V40" s="77" t="inlineStr">
        <is>
          <t>Industrial UAV</t>
        </is>
      </c>
      <c r="W40" s="77" t="inlineStr">
        <is>
          <t>Scraped from genstattu.com. https://genstattu.com/tattu-g-tech-30000mah-6s-22-2v-25c-lipo-battery-pack-with-as150u-f-plug/</t>
        </is>
      </c>
    </row>
    <row r="41">
      <c r="A41" s="77" t="inlineStr">
        <is>
          <t>TATTU_TATTU_PLUS_16000MAH_6S_15C_22_2V_LIPO_BATTER</t>
        </is>
      </c>
      <c r="B41" s="77" t="inlineStr">
        <is>
          <t>Tattu Plus 16000mAh 6S 15C 22.2V Lipo Battery Pack with XT90-S Plug</t>
        </is>
      </c>
      <c r="C41" s="77" t="inlineStr">
        <is>
          <t>CELL_LIPO_GENERIC</t>
        </is>
      </c>
      <c r="D41" s="77" t="inlineStr">
        <is>
          <t>LIPO</t>
        </is>
      </c>
      <c r="E41" s="77" t="n">
        <v>6</v>
      </c>
      <c r="F41" s="77" t="n">
        <v>9</v>
      </c>
      <c r="G41" s="77" t="n">
        <v>54</v>
      </c>
      <c r="H41" s="77" t="n">
        <v>22.2</v>
      </c>
      <c r="I41" s="77" t="n">
        <v>25.2</v>
      </c>
      <c r="J41" s="77" t="n">
        <v>19.8</v>
      </c>
      <c r="K41" s="77" t="n">
        <v>16</v>
      </c>
      <c r="L41" s="77" t="n">
        <v>355.2</v>
      </c>
      <c r="M41" s="77" t="n">
        <v>1932</v>
      </c>
      <c r="N41" s="77" t="n">
        <v>183.9</v>
      </c>
      <c r="Q41" s="77" t="n">
        <v>240</v>
      </c>
      <c r="R41" s="77" t="n">
        <v>5328</v>
      </c>
      <c r="S41" s="77" t="n">
        <v>15</v>
      </c>
      <c r="T41" s="77" t="n">
        <v>54</v>
      </c>
      <c r="U41" s="77" t="n">
        <v>300</v>
      </c>
      <c r="V41" s="77" t="inlineStr">
        <is>
          <t>Industrial UAV</t>
        </is>
      </c>
      <c r="W41" s="77" t="inlineStr">
        <is>
          <t>Scraped from genstattu.com. https://genstattu.com/tattu-plus-16000mah-6s-15c-22-2v-lipo-battery-pack-with-xt90s/</t>
        </is>
      </c>
    </row>
    <row r="42">
      <c r="A42" s="77" t="inlineStr">
        <is>
          <t>TATTU_TATTU_PRO_22000MAH_51_8V_25C_14S_1P_LIPO_SMA</t>
        </is>
      </c>
      <c r="B42" s="77" t="inlineStr">
        <is>
          <t>Tattu Pro 22000mAh 14S1P Lipo Smart Battery Pack with AS150-F Plug</t>
        </is>
      </c>
      <c r="C42" s="77" t="inlineStr">
        <is>
          <t>CELL_LIPO_GENERIC</t>
        </is>
      </c>
      <c r="D42" s="77" t="inlineStr">
        <is>
          <t>LIPO</t>
        </is>
      </c>
      <c r="E42" s="77" t="n">
        <v>14</v>
      </c>
      <c r="F42" s="77" t="n">
        <v>1</v>
      </c>
      <c r="G42" s="77" t="n">
        <v>14</v>
      </c>
      <c r="H42" s="77" t="n">
        <v>51.8</v>
      </c>
      <c r="I42" s="77" t="n">
        <v>58.8</v>
      </c>
      <c r="J42" s="77" t="n">
        <v>46.2</v>
      </c>
      <c r="K42" s="77" t="n">
        <v>22</v>
      </c>
      <c r="L42" s="77" t="n">
        <v>1139.6</v>
      </c>
      <c r="M42" s="77" t="n">
        <v>7350</v>
      </c>
      <c r="N42" s="77" t="n">
        <v>155</v>
      </c>
      <c r="Q42" s="77" t="n">
        <v>550</v>
      </c>
      <c r="R42" s="77" t="n">
        <v>28490</v>
      </c>
      <c r="S42" s="77" t="n">
        <v>25</v>
      </c>
      <c r="T42" s="77" t="n">
        <v>14</v>
      </c>
      <c r="U42" s="77" t="n">
        <v>300</v>
      </c>
      <c r="V42" s="77" t="inlineStr">
        <is>
          <t>Industrial UAV</t>
        </is>
      </c>
      <c r="W42" s="77" t="inlineStr">
        <is>
          <t>Scraped from genstattu.com. https://genstattu.com/tattu-pro-22000mah-51-8v-25c-14s-1p-lipo-smart-battery-pack-with-as150u-f-plug/</t>
        </is>
      </c>
    </row>
    <row r="43">
      <c r="A43" s="77" t="inlineStr">
        <is>
          <t>TATTU_TATTU_PRO_22000MAH_44_4V_25C_12S_1P_LIPO_SMA</t>
        </is>
      </c>
      <c r="B43" s="77" t="inlineStr">
        <is>
          <t>Tattu pro 22000mAh 12S1P Lipo Smart Battery Pack with AS150-F Plug</t>
        </is>
      </c>
      <c r="C43" s="77" t="inlineStr">
        <is>
          <t>CELL_LIPO_GENERIC</t>
        </is>
      </c>
      <c r="D43" s="77" t="inlineStr">
        <is>
          <t>LIPO</t>
        </is>
      </c>
      <c r="E43" s="77" t="n">
        <v>12</v>
      </c>
      <c r="F43" s="77" t="n">
        <v>1</v>
      </c>
      <c r="G43" s="77" t="n">
        <v>12</v>
      </c>
      <c r="H43" s="77" t="n">
        <v>44.4</v>
      </c>
      <c r="I43" s="77" t="n">
        <v>50.4</v>
      </c>
      <c r="J43" s="77" t="n">
        <v>39.6</v>
      </c>
      <c r="K43" s="77" t="n">
        <v>22</v>
      </c>
      <c r="L43" s="77" t="n">
        <v>976.8</v>
      </c>
      <c r="M43" s="77" t="n">
        <v>6300</v>
      </c>
      <c r="N43" s="77" t="n">
        <v>155</v>
      </c>
      <c r="Q43" s="77" t="n">
        <v>550</v>
      </c>
      <c r="R43" s="77" t="n">
        <v>24420</v>
      </c>
      <c r="S43" s="77" t="n">
        <v>25</v>
      </c>
      <c r="T43" s="77" t="n">
        <v>12</v>
      </c>
      <c r="U43" s="77" t="n">
        <v>300</v>
      </c>
      <c r="V43" s="77" t="inlineStr">
        <is>
          <t>Industrial UAV</t>
        </is>
      </c>
      <c r="W43" s="77" t="inlineStr">
        <is>
          <t>Scraped from genstattu.com. https://genstattu.com/tattu-pro-22000mah-44-4v-25c-12s-1p-lipo-smart-battery-pack-with-as150u-f-plug/</t>
        </is>
      </c>
    </row>
    <row r="44">
      <c r="A44" s="77" t="inlineStr">
        <is>
          <t>TATTU_TATTU_PLUS_3_0_22000MAH_51_8V_25C_14S1P_LIPO</t>
        </is>
      </c>
      <c r="B44" s="77" t="inlineStr">
        <is>
          <t>Tattu Plus 3.0 22000mAh 51.8V 25C 14S1P Lipo Smart Battery Pack with Molex   Plug</t>
        </is>
      </c>
      <c r="C44" s="77" t="inlineStr">
        <is>
          <t>CELL_LIPO_GENERIC</t>
        </is>
      </c>
      <c r="D44" s="77" t="inlineStr">
        <is>
          <t>LIPO</t>
        </is>
      </c>
      <c r="E44" s="77" t="n">
        <v>14</v>
      </c>
      <c r="F44" s="77" t="n">
        <v>1</v>
      </c>
      <c r="G44" s="77" t="n">
        <v>14</v>
      </c>
      <c r="H44" s="77" t="n">
        <v>51.8</v>
      </c>
      <c r="I44" s="77" t="n">
        <v>58.8</v>
      </c>
      <c r="J44" s="77" t="n">
        <v>46.2</v>
      </c>
      <c r="K44" s="77" t="n">
        <v>22</v>
      </c>
      <c r="L44" s="77" t="n">
        <v>1139.6</v>
      </c>
      <c r="M44" s="77" t="n">
        <v>8800</v>
      </c>
      <c r="N44" s="77" t="n">
        <v>129.5</v>
      </c>
      <c r="Q44" s="77" t="n">
        <v>550</v>
      </c>
      <c r="R44" s="77" t="n">
        <v>28490</v>
      </c>
      <c r="S44" s="77" t="n">
        <v>25</v>
      </c>
      <c r="T44" s="77" t="n">
        <v>14</v>
      </c>
      <c r="U44" s="77" t="n">
        <v>300</v>
      </c>
      <c r="V44" s="77" t="inlineStr">
        <is>
          <t>Industrial UAV</t>
        </is>
      </c>
      <c r="W44" s="77" t="inlineStr">
        <is>
          <t>Scraped from genstattu.com. https://genstattu.com/tattu-plus-3-0-22000mah-51-8v-25c-14s1p-lipo-smart-battery-pack-with-molex-plug/</t>
        </is>
      </c>
    </row>
    <row r="45">
      <c r="A45" s="77" t="inlineStr">
        <is>
          <t>TATTU_TATTU_R_LINE_4500MAH_6S_95C_LIPO_BATTERY_PAC</t>
        </is>
      </c>
      <c r="B45" s="77" t="inlineStr">
        <is>
          <t>Tattu R-Line-4500mAh 6S 95C Lipo Battery Pack with AS150 Plug</t>
        </is>
      </c>
      <c r="C45" s="77" t="inlineStr">
        <is>
          <t>CELL_LIPO_GENERIC</t>
        </is>
      </c>
      <c r="D45" s="77" t="inlineStr">
        <is>
          <t>LIPO</t>
        </is>
      </c>
      <c r="E45" s="77" t="n">
        <v>6</v>
      </c>
      <c r="F45" s="77" t="n">
        <v>1</v>
      </c>
      <c r="G45" s="77" t="n">
        <v>6</v>
      </c>
      <c r="H45" s="77" t="n">
        <v>22.2</v>
      </c>
      <c r="I45" s="77" t="n">
        <v>25.2</v>
      </c>
      <c r="J45" s="77" t="n">
        <v>19.8</v>
      </c>
      <c r="K45" s="77" t="n">
        <v>4.5</v>
      </c>
      <c r="L45" s="77" t="n">
        <v>99.90000000000001</v>
      </c>
      <c r="M45" s="77" t="n">
        <v>1000</v>
      </c>
      <c r="N45" s="77" t="n">
        <v>99.90000000000001</v>
      </c>
      <c r="Q45" s="77" t="n">
        <v>427.5</v>
      </c>
      <c r="R45" s="77" t="n">
        <v>9490</v>
      </c>
      <c r="S45" s="77" t="n">
        <v>95</v>
      </c>
      <c r="T45" s="77" t="n">
        <v>6</v>
      </c>
      <c r="U45" s="77" t="n">
        <v>300</v>
      </c>
      <c r="V45" s="77" t="inlineStr">
        <is>
          <t>Industrial UAV</t>
        </is>
      </c>
      <c r="W45" s="77" t="inlineStr">
        <is>
          <t>Scraped from genstattu.com. https://genstattu.com/tattu-r-line-4500mah-6s-95c-lipo-battery-pack-with-as150-plug/</t>
        </is>
      </c>
    </row>
    <row r="46">
      <c r="A46" s="77" t="inlineStr">
        <is>
          <t>TATTU_TATTU_PLUS_1_0_COMPACT_VERSION_16000MAH_44_4</t>
        </is>
      </c>
      <c r="B46" s="77" t="inlineStr">
        <is>
          <t>Tattu Plus 1.0 16000mAh 44.4V 15C 12S1P Lipo Smart Battery Pack with AS150U Plug</t>
        </is>
      </c>
      <c r="C46" s="77" t="inlineStr">
        <is>
          <t>CELL_LIPO_GENERIC</t>
        </is>
      </c>
      <c r="D46" s="77" t="inlineStr">
        <is>
          <t>LIPO</t>
        </is>
      </c>
      <c r="E46" s="77" t="n">
        <v>12</v>
      </c>
      <c r="F46" s="77" t="n">
        <v>1</v>
      </c>
      <c r="G46" s="77" t="n">
        <v>12</v>
      </c>
      <c r="H46" s="77" t="n">
        <v>44.4</v>
      </c>
      <c r="I46" s="77" t="n">
        <v>50.4</v>
      </c>
      <c r="J46" s="77" t="n">
        <v>39.6</v>
      </c>
      <c r="K46" s="77" t="n">
        <v>16</v>
      </c>
      <c r="L46" s="77" t="n">
        <v>710.4</v>
      </c>
      <c r="M46" s="77" t="n">
        <v>4250</v>
      </c>
      <c r="N46" s="77" t="n">
        <v>167.2</v>
      </c>
      <c r="Q46" s="77" t="n">
        <v>240</v>
      </c>
      <c r="R46" s="77" t="n">
        <v>10656</v>
      </c>
      <c r="S46" s="77" t="n">
        <v>15</v>
      </c>
      <c r="T46" s="77" t="n">
        <v>12</v>
      </c>
      <c r="U46" s="77" t="n">
        <v>300</v>
      </c>
      <c r="V46" s="77" t="inlineStr">
        <is>
          <t>Industrial UAV</t>
        </is>
      </c>
      <c r="W46" s="77" t="inlineStr">
        <is>
          <t>Scraped from genstattu.com. https://genstattu.com/tattu-plus-1-0-compact-version-16000mah-44-4v-15c-12s1p-lipo-smart-battery-pack-with-as150u-plug/</t>
        </is>
      </c>
    </row>
    <row r="47">
      <c r="A47" s="77" t="inlineStr">
        <is>
          <t>TATTU_TA_PLUS1_0_15C_16000_12S1P_C_XT90</t>
        </is>
      </c>
      <c r="B47" s="77" t="inlineStr">
        <is>
          <t>Tattu Plus 1.0 16000mAh 44.4V 15C 12S1P Lipo Smart Battery Pack with AS150U Plug</t>
        </is>
      </c>
      <c r="C47" s="77" t="inlineStr">
        <is>
          <t>CELL_LIPO_GENERIC</t>
        </is>
      </c>
      <c r="D47" s="77" t="inlineStr">
        <is>
          <t>LIPO</t>
        </is>
      </c>
      <c r="E47" s="77" t="n">
        <v>12</v>
      </c>
      <c r="F47" s="77" t="n">
        <v>1</v>
      </c>
      <c r="G47" s="77" t="n">
        <v>12</v>
      </c>
      <c r="H47" s="77" t="n">
        <v>44.4</v>
      </c>
      <c r="I47" s="77" t="n">
        <v>50.4</v>
      </c>
      <c r="J47" s="77" t="n">
        <v>39.6</v>
      </c>
      <c r="K47" s="77" t="n">
        <v>16</v>
      </c>
      <c r="L47" s="77" t="n">
        <v>710.4</v>
      </c>
      <c r="M47" s="77" t="n">
        <v>4250</v>
      </c>
      <c r="N47" s="77" t="n">
        <v>167.2</v>
      </c>
      <c r="Q47" s="77" t="n">
        <v>240</v>
      </c>
      <c r="R47" s="77" t="n">
        <v>10656</v>
      </c>
      <c r="S47" s="77" t="n">
        <v>15</v>
      </c>
      <c r="T47" s="77" t="n">
        <v>12</v>
      </c>
      <c r="U47" s="77" t="n">
        <v>300</v>
      </c>
      <c r="V47" s="77" t="inlineStr">
        <is>
          <t>Industrial UAV</t>
        </is>
      </c>
      <c r="W47" s="77" t="inlineStr">
        <is>
          <t>Scraped from genstattu.com. https://genstattu.com/ta-plus1-0-15c-16000-12s1p-c-xt90.html</t>
        </is>
      </c>
    </row>
    <row r="48">
      <c r="A48" s="77" t="inlineStr">
        <is>
          <t>TATTU_TATTU_30C_22_2V_12000_6S1P_EC5</t>
        </is>
      </c>
      <c r="B48" s="77" t="inlineStr">
        <is>
          <t>Tattu G-Tech 6S 12000mAh 30C 22.2V Lipo Battery Pack with EC5 Plug for UAV Drone</t>
        </is>
      </c>
      <c r="C48" s="77" t="inlineStr">
        <is>
          <t>CELL_LIPO_GENERIC</t>
        </is>
      </c>
      <c r="D48" s="77" t="inlineStr">
        <is>
          <t>LIPO</t>
        </is>
      </c>
      <c r="E48" s="77" t="n">
        <v>6</v>
      </c>
      <c r="F48" s="77" t="n">
        <v>7</v>
      </c>
      <c r="G48" s="77" t="n">
        <v>42</v>
      </c>
      <c r="H48" s="77" t="n">
        <v>22.2</v>
      </c>
      <c r="I48" s="77" t="n">
        <v>25.2</v>
      </c>
      <c r="J48" s="77" t="n">
        <v>19.8</v>
      </c>
      <c r="K48" s="77" t="n">
        <v>12</v>
      </c>
      <c r="L48" s="77" t="n">
        <v>266.4</v>
      </c>
      <c r="M48" s="77" t="n">
        <v>1000</v>
      </c>
      <c r="N48" s="77" t="n">
        <v>266.4</v>
      </c>
      <c r="Q48" s="77" t="n">
        <v>360</v>
      </c>
      <c r="R48" s="77" t="n">
        <v>7992</v>
      </c>
      <c r="S48" s="77" t="n">
        <v>30</v>
      </c>
      <c r="T48" s="77" t="n">
        <v>42</v>
      </c>
      <c r="U48" s="77" t="n">
        <v>300</v>
      </c>
      <c r="V48" s="77" t="inlineStr">
        <is>
          <t>Industrial UAV</t>
        </is>
      </c>
      <c r="W48" s="77" t="inlineStr">
        <is>
          <t>Scraped from genstattu.com. https://genstattu.com/tattu-30c-22.2v-12000-6s1p-ec5.html</t>
        </is>
      </c>
    </row>
    <row r="49">
      <c r="A49" s="77" t="inlineStr">
        <is>
          <t>TATTU_TATTU_40000MAH_6S_10C_22_8V_HIGH_VOLTAGE_UAV</t>
        </is>
      </c>
      <c r="B49" s="77" t="inlineStr">
        <is>
          <t>Tattu 40000mAh 6S 10C 22.8V High Voltage UAV Lipo Battery Pack with AS150+AS150 Plug</t>
        </is>
      </c>
      <c r="C49" s="77" t="inlineStr">
        <is>
          <t>CELL_LIPO_GENERIC</t>
        </is>
      </c>
      <c r="D49" s="77" t="inlineStr">
        <is>
          <t>LIPO</t>
        </is>
      </c>
      <c r="E49" s="77" t="n">
        <v>6</v>
      </c>
      <c r="F49" s="77" t="n">
        <v>1</v>
      </c>
      <c r="G49" s="77" t="n">
        <v>6</v>
      </c>
      <c r="H49" s="77" t="n">
        <v>22.2</v>
      </c>
      <c r="I49" s="77" t="n">
        <v>25.2</v>
      </c>
      <c r="J49" s="77" t="n">
        <v>19.8</v>
      </c>
      <c r="K49" s="77" t="n">
        <v>40</v>
      </c>
      <c r="L49" s="77" t="n">
        <v>888</v>
      </c>
      <c r="M49" s="77" t="n">
        <v>4130</v>
      </c>
      <c r="N49" s="77" t="n">
        <v>215</v>
      </c>
      <c r="Q49" s="77" t="n">
        <v>400</v>
      </c>
      <c r="R49" s="77" t="n">
        <v>8880</v>
      </c>
      <c r="S49" s="77" t="n">
        <v>10</v>
      </c>
      <c r="T49" s="77" t="n">
        <v>6</v>
      </c>
      <c r="U49" s="77" t="n">
        <v>300</v>
      </c>
      <c r="V49" s="77" t="inlineStr">
        <is>
          <t>Industrial UAV</t>
        </is>
      </c>
      <c r="W49" s="77" t="inlineStr">
        <is>
          <t>Scraped from genstattu.com. https://genstattu.com/tattu-40000mah-6s-10c-22-8v-high-voltage-uav-lipo-battery-pack-with-as150-as150-plug/</t>
        </is>
      </c>
    </row>
    <row r="50">
      <c r="A50" s="77" t="inlineStr">
        <is>
          <t>TATTU_TA_30C_10000_6S1P_EC5</t>
        </is>
      </c>
      <c r="B50" s="77" t="inlineStr">
        <is>
          <t>Tattu G-Tech 6S 10000mAh 30C 22.2V Lipo Battery Pack with EC5 Plug for UAV Drone</t>
        </is>
      </c>
      <c r="C50" s="77" t="inlineStr">
        <is>
          <t>CELL_LIPO_GENERIC</t>
        </is>
      </c>
      <c r="D50" s="77" t="inlineStr">
        <is>
          <t>LIPO</t>
        </is>
      </c>
      <c r="E50" s="77" t="n">
        <v>6</v>
      </c>
      <c r="F50" s="77" t="n">
        <v>7</v>
      </c>
      <c r="G50" s="77" t="n">
        <v>42</v>
      </c>
      <c r="H50" s="77" t="n">
        <v>22.2</v>
      </c>
      <c r="I50" s="77" t="n">
        <v>25.2</v>
      </c>
      <c r="J50" s="77" t="n">
        <v>19.8</v>
      </c>
      <c r="K50" s="77" t="n">
        <v>10</v>
      </c>
      <c r="L50" s="77" t="n">
        <v>222</v>
      </c>
      <c r="M50" s="77" t="n">
        <v>1000</v>
      </c>
      <c r="N50" s="77" t="n">
        <v>222</v>
      </c>
      <c r="Q50" s="77" t="n">
        <v>300</v>
      </c>
      <c r="R50" s="77" t="n">
        <v>6660</v>
      </c>
      <c r="S50" s="77" t="n">
        <v>30</v>
      </c>
      <c r="T50" s="77" t="n">
        <v>42</v>
      </c>
      <c r="U50" s="77" t="n">
        <v>300</v>
      </c>
      <c r="V50" s="77" t="inlineStr">
        <is>
          <t>Industrial UAV</t>
        </is>
      </c>
      <c r="W50" s="77" t="inlineStr">
        <is>
          <t>Scraped from genstattu.com. https://genstattu.com/ta-30c-10000-6s1p-ec5.html</t>
        </is>
      </c>
    </row>
    <row r="51">
      <c r="A51" s="77" t="inlineStr">
        <is>
          <t>TATTU_TA_30C_16000_6S1P_XT90</t>
        </is>
      </c>
      <c r="B51" s="77" t="inlineStr">
        <is>
          <t>Tattu 16000mAh 6S 30C 22.2V Lipo Battery Pack with XT90-S Plug</t>
        </is>
      </c>
      <c r="C51" s="77" t="inlineStr">
        <is>
          <t>CELL_LIPO_GENERIC</t>
        </is>
      </c>
      <c r="D51" s="77" t="inlineStr">
        <is>
          <t>LIPO</t>
        </is>
      </c>
      <c r="E51" s="77" t="n">
        <v>6</v>
      </c>
      <c r="F51" s="77" t="n">
        <v>7</v>
      </c>
      <c r="G51" s="77" t="n">
        <v>42</v>
      </c>
      <c r="H51" s="77" t="n">
        <v>22.2</v>
      </c>
      <c r="I51" s="77" t="n">
        <v>25.2</v>
      </c>
      <c r="J51" s="77" t="n">
        <v>19.8</v>
      </c>
      <c r="K51" s="77" t="n">
        <v>16</v>
      </c>
      <c r="L51" s="77" t="n">
        <v>355.2</v>
      </c>
      <c r="M51" s="77" t="n">
        <v>1000</v>
      </c>
      <c r="N51" s="77" t="n">
        <v>355.2</v>
      </c>
      <c r="Q51" s="77" t="n">
        <v>480</v>
      </c>
      <c r="R51" s="77" t="n">
        <v>10656</v>
      </c>
      <c r="S51" s="77" t="n">
        <v>30</v>
      </c>
      <c r="T51" s="77" t="n">
        <v>42</v>
      </c>
      <c r="U51" s="77" t="n">
        <v>300</v>
      </c>
      <c r="V51" s="77" t="inlineStr">
        <is>
          <t>Industrial UAV</t>
        </is>
      </c>
      <c r="W51" s="77" t="inlineStr">
        <is>
          <t>Scraped from genstattu.com. https://genstattu.com/ta-30c-16000-6s1p-xt90.html</t>
        </is>
      </c>
    </row>
    <row r="52">
      <c r="A52" s="77" t="inlineStr">
        <is>
          <t>TATTU_TA_30C_16000_6S1P_AS_AS150</t>
        </is>
      </c>
      <c r="B52" s="77" t="inlineStr">
        <is>
          <t>Tattu 16000mAh 6S 30C 22.2VLipo Battery Pack with AS150+AS150 Plug</t>
        </is>
      </c>
      <c r="C52" s="77" t="inlineStr">
        <is>
          <t>CELL_LIPO_GENERIC</t>
        </is>
      </c>
      <c r="D52" s="77" t="inlineStr">
        <is>
          <t>LIPO</t>
        </is>
      </c>
      <c r="E52" s="77" t="n">
        <v>6</v>
      </c>
      <c r="F52" s="77" t="n">
        <v>7</v>
      </c>
      <c r="G52" s="77" t="n">
        <v>42</v>
      </c>
      <c r="H52" s="77" t="n">
        <v>22.2</v>
      </c>
      <c r="I52" s="77" t="n">
        <v>25.2</v>
      </c>
      <c r="J52" s="77" t="n">
        <v>19.8</v>
      </c>
      <c r="K52" s="77" t="n">
        <v>16</v>
      </c>
      <c r="L52" s="77" t="n">
        <v>355.2</v>
      </c>
      <c r="M52" s="77" t="n">
        <v>1000</v>
      </c>
      <c r="N52" s="77" t="n">
        <v>355.2</v>
      </c>
      <c r="Q52" s="77" t="n">
        <v>480</v>
      </c>
      <c r="R52" s="77" t="n">
        <v>10656</v>
      </c>
      <c r="S52" s="77" t="n">
        <v>30</v>
      </c>
      <c r="T52" s="77" t="n">
        <v>42</v>
      </c>
      <c r="U52" s="77" t="n">
        <v>300</v>
      </c>
      <c r="V52" s="77" t="inlineStr">
        <is>
          <t>Industrial UAV</t>
        </is>
      </c>
      <c r="W52" s="77" t="inlineStr">
        <is>
          <t>Scraped from genstattu.com. https://genstattu.com/ta-30c-16000-6s1p-as-as150.html</t>
        </is>
      </c>
    </row>
    <row r="53">
      <c r="A53" s="77" t="inlineStr">
        <is>
          <t>TATTU_TATTU_22_8_25C_6S_11000_MAH_HIGH_VOLTAGE_LIP</t>
        </is>
      </c>
      <c r="B53" s="77" t="inlineStr">
        <is>
          <t>Tattu G-Tech 6S 11000mAh 22.8V 25C High Voltage Lipo Battery with XT90-S Plug for UAV</t>
        </is>
      </c>
      <c r="C53" s="77" t="inlineStr">
        <is>
          <t>CELL_LIPO_GENERIC</t>
        </is>
      </c>
      <c r="D53" s="77" t="inlineStr">
        <is>
          <t>LIPO</t>
        </is>
      </c>
      <c r="E53" s="77" t="n">
        <v>6</v>
      </c>
      <c r="F53" s="77" t="n">
        <v>7</v>
      </c>
      <c r="G53" s="77" t="n">
        <v>42</v>
      </c>
      <c r="H53" s="77" t="n">
        <v>22.2</v>
      </c>
      <c r="I53" s="77" t="n">
        <v>25.2</v>
      </c>
      <c r="J53" s="77" t="n">
        <v>19.8</v>
      </c>
      <c r="K53" s="77" t="n">
        <v>11</v>
      </c>
      <c r="L53" s="77" t="n">
        <v>244.2</v>
      </c>
      <c r="M53" s="77" t="n">
        <v>1000</v>
      </c>
      <c r="N53" s="77" t="n">
        <v>244.2</v>
      </c>
      <c r="Q53" s="77" t="n">
        <v>275</v>
      </c>
      <c r="R53" s="77" t="n">
        <v>6105</v>
      </c>
      <c r="S53" s="77" t="n">
        <v>25</v>
      </c>
      <c r="T53" s="77" t="n">
        <v>42</v>
      </c>
      <c r="U53" s="77" t="n">
        <v>300</v>
      </c>
      <c r="V53" s="77" t="inlineStr">
        <is>
          <t>Industrial UAV</t>
        </is>
      </c>
      <c r="W53" s="77" t="inlineStr">
        <is>
          <t>Scraped from genstattu.com. https://genstattu.com/tattu-22-8-25c-6s-11000-mah-high-voltage-lipo-battery-with-xt90-s-plug-for-uav.html</t>
        </is>
      </c>
    </row>
    <row r="54">
      <c r="A54" s="77" t="inlineStr">
        <is>
          <t>TATTU_TATTU_22_8_V_25C_6S_11000_MAH_HIGH_VOLTAGE_L</t>
        </is>
      </c>
      <c r="B54" s="77" t="inlineStr">
        <is>
          <t>Tattu G-Tech 6S 11000mAh 22.8V 25C High Voltage Lipo Battery with EC5 Plug for UAV</t>
        </is>
      </c>
      <c r="C54" s="77" t="inlineStr">
        <is>
          <t>CELL_LIPO_GENERIC</t>
        </is>
      </c>
      <c r="D54" s="77" t="inlineStr">
        <is>
          <t>LIPO</t>
        </is>
      </c>
      <c r="E54" s="77" t="n">
        <v>6</v>
      </c>
      <c r="F54" s="77" t="n">
        <v>7</v>
      </c>
      <c r="G54" s="77" t="n">
        <v>42</v>
      </c>
      <c r="H54" s="77" t="n">
        <v>22.2</v>
      </c>
      <c r="I54" s="77" t="n">
        <v>25.2</v>
      </c>
      <c r="J54" s="77" t="n">
        <v>19.8</v>
      </c>
      <c r="K54" s="77" t="n">
        <v>11</v>
      </c>
      <c r="L54" s="77" t="n">
        <v>244.2</v>
      </c>
      <c r="M54" s="77" t="n">
        <v>1000</v>
      </c>
      <c r="N54" s="77" t="n">
        <v>244.2</v>
      </c>
      <c r="Q54" s="77" t="n">
        <v>275</v>
      </c>
      <c r="R54" s="77" t="n">
        <v>6105</v>
      </c>
      <c r="S54" s="77" t="n">
        <v>25</v>
      </c>
      <c r="T54" s="77" t="n">
        <v>42</v>
      </c>
      <c r="U54" s="77" t="n">
        <v>300</v>
      </c>
      <c r="V54" s="77" t="inlineStr">
        <is>
          <t>Industrial UAV</t>
        </is>
      </c>
      <c r="W54" s="77" t="inlineStr">
        <is>
          <t>Scraped from genstattu.com. https://genstattu.com/tattu-22-8-v-25c-6s-11000-mah-high-voltage-lipo-battery-with-ec5-plug-for-uav.html</t>
        </is>
      </c>
    </row>
    <row r="55">
      <c r="A55" s="77" t="inlineStr">
        <is>
          <t>TATTU_TATTU_22_8V_15C_6S_17000MAH_LIPO_BATTERY_WIT</t>
        </is>
      </c>
      <c r="B55" s="77" t="inlineStr">
        <is>
          <t>Tattu G-Tech 6S 17000mAh 15C 22.8V High Voltage LiPo Battery with XT90-S Plug for UAV</t>
        </is>
      </c>
      <c r="C55" s="77" t="inlineStr">
        <is>
          <t>CELL_LIPO_GENERIC</t>
        </is>
      </c>
      <c r="D55" s="77" t="inlineStr">
        <is>
          <t>LIPO</t>
        </is>
      </c>
      <c r="E55" s="77" t="n">
        <v>6</v>
      </c>
      <c r="F55" s="77" t="n">
        <v>7</v>
      </c>
      <c r="G55" s="77" t="n">
        <v>42</v>
      </c>
      <c r="H55" s="77" t="n">
        <v>22.2</v>
      </c>
      <c r="I55" s="77" t="n">
        <v>25.2</v>
      </c>
      <c r="J55" s="77" t="n">
        <v>19.8</v>
      </c>
      <c r="K55" s="77" t="n">
        <v>17</v>
      </c>
      <c r="L55" s="77" t="n">
        <v>377.4</v>
      </c>
      <c r="M55" s="77" t="n">
        <v>1000</v>
      </c>
      <c r="N55" s="77" t="n">
        <v>377.4</v>
      </c>
      <c r="Q55" s="77" t="n">
        <v>255</v>
      </c>
      <c r="R55" s="77" t="n">
        <v>5661</v>
      </c>
      <c r="S55" s="77" t="n">
        <v>15</v>
      </c>
      <c r="T55" s="77" t="n">
        <v>42</v>
      </c>
      <c r="U55" s="77" t="n">
        <v>300</v>
      </c>
      <c r="V55" s="77" t="inlineStr">
        <is>
          <t>Industrial UAV</t>
        </is>
      </c>
      <c r="W55" s="77" t="inlineStr">
        <is>
          <t>Scraped from genstattu.com. https://genstattu.com/tattu-22-8v-15c-6s-17000mah-lipo-battery-with-xt90-plug-for-uav.html</t>
        </is>
      </c>
    </row>
    <row r="56">
      <c r="A56" s="77" t="inlineStr">
        <is>
          <t>TATTU_TATTU_22_8V_15C_6S_17000_MAH_LIPO_BATTERY_WI</t>
        </is>
      </c>
      <c r="B56" s="77" t="inlineStr">
        <is>
          <t>Tattu G-Tech 22.8V 15C 6S 17000mAh High Voltage LiPo Battery with AS150+XT150 Plug for UAV</t>
        </is>
      </c>
      <c r="C56" s="77" t="inlineStr">
        <is>
          <t>CELL_LIPO_GENERIC</t>
        </is>
      </c>
      <c r="D56" s="77" t="inlineStr">
        <is>
          <t>LIPO</t>
        </is>
      </c>
      <c r="E56" s="77" t="n">
        <v>6</v>
      </c>
      <c r="F56" s="77" t="n">
        <v>7</v>
      </c>
      <c r="G56" s="77" t="n">
        <v>42</v>
      </c>
      <c r="H56" s="77" t="n">
        <v>22.2</v>
      </c>
      <c r="I56" s="77" t="n">
        <v>25.2</v>
      </c>
      <c r="J56" s="77" t="n">
        <v>19.8</v>
      </c>
      <c r="K56" s="77" t="n">
        <v>17</v>
      </c>
      <c r="L56" s="77" t="n">
        <v>377.4</v>
      </c>
      <c r="M56" s="77" t="n">
        <v>1000</v>
      </c>
      <c r="N56" s="77" t="n">
        <v>377.4</v>
      </c>
      <c r="Q56" s="77" t="n">
        <v>255</v>
      </c>
      <c r="R56" s="77" t="n">
        <v>5661</v>
      </c>
      <c r="S56" s="77" t="n">
        <v>15</v>
      </c>
      <c r="T56" s="77" t="n">
        <v>42</v>
      </c>
      <c r="U56" s="77" t="n">
        <v>300</v>
      </c>
      <c r="V56" s="77" t="inlineStr">
        <is>
          <t>Industrial UAV</t>
        </is>
      </c>
      <c r="W56" s="77" t="inlineStr">
        <is>
          <t>Scraped from genstattu.com. https://genstattu.com/tattu-22-8v-15c-6s-17000-mah-lipo-battery-with-as150-xt150-plug-for-uav.html</t>
        </is>
      </c>
    </row>
    <row r="57">
      <c r="A57" s="77" t="inlineStr">
        <is>
          <t>TATTU_TATTU_PRO_25C_16000MAH_12S1P_AS150_SMART_LIP</t>
        </is>
      </c>
      <c r="B57" s="77" t="inlineStr">
        <is>
          <t>Tattu Pro 16000mAh 45.6V 25C 12S1P HV Lipo Smart Battery Pack with AS150U-F Plug</t>
        </is>
      </c>
      <c r="C57" s="77" t="inlineStr">
        <is>
          <t>CELL_LIPO_GENERIC</t>
        </is>
      </c>
      <c r="D57" s="77" t="inlineStr">
        <is>
          <t>LIPO</t>
        </is>
      </c>
      <c r="E57" s="77" t="n">
        <v>12</v>
      </c>
      <c r="F57" s="77" t="n">
        <v>1</v>
      </c>
      <c r="G57" s="77" t="n">
        <v>12</v>
      </c>
      <c r="H57" s="77" t="n">
        <v>44.4</v>
      </c>
      <c r="I57" s="77" t="n">
        <v>50.4</v>
      </c>
      <c r="J57" s="77" t="n">
        <v>39.6</v>
      </c>
      <c r="K57" s="77" t="n">
        <v>16</v>
      </c>
      <c r="L57" s="77" t="n">
        <v>710.4</v>
      </c>
      <c r="M57" s="77" t="n">
        <v>4650</v>
      </c>
      <c r="N57" s="77" t="n">
        <v>152.8</v>
      </c>
      <c r="Q57" s="77" t="n">
        <v>400</v>
      </c>
      <c r="R57" s="77" t="n">
        <v>17760</v>
      </c>
      <c r="S57" s="77" t="n">
        <v>25</v>
      </c>
      <c r="T57" s="77" t="n">
        <v>12</v>
      </c>
      <c r="U57" s="77" t="n">
        <v>300</v>
      </c>
      <c r="V57" s="77" t="inlineStr">
        <is>
          <t>Industrial UAV</t>
        </is>
      </c>
      <c r="W57" s="77" t="inlineStr">
        <is>
          <t>Scraped from genstattu.com. https://genstattu.com/tattu-Pro-25c-16000mah-12s1p-as150-smart-lipo-battery.html</t>
        </is>
      </c>
    </row>
    <row r="58">
      <c r="A58" s="77" t="inlineStr">
        <is>
          <t>TATTU_TATTU_PLUS_25C_22000MAH_6S1P_XT90_SMART_LIPO</t>
        </is>
      </c>
      <c r="B58" s="77" t="inlineStr">
        <is>
          <t>Tattu Plus 22000mAh 6s 25C 22.2V Lipo Smart Battery Pack with XT90-S Plug (New Version)</t>
        </is>
      </c>
      <c r="C58" s="77" t="inlineStr">
        <is>
          <t>CELL_LIPO_GENERIC</t>
        </is>
      </c>
      <c r="D58" s="77" t="inlineStr">
        <is>
          <t>LIPO</t>
        </is>
      </c>
      <c r="E58" s="77" t="n">
        <v>6</v>
      </c>
      <c r="F58" s="77" t="n">
        <v>9</v>
      </c>
      <c r="G58" s="77" t="n">
        <v>54</v>
      </c>
      <c r="H58" s="77" t="n">
        <v>22.2</v>
      </c>
      <c r="I58" s="77" t="n">
        <v>25.2</v>
      </c>
      <c r="J58" s="77" t="n">
        <v>19.8</v>
      </c>
      <c r="K58" s="77" t="n">
        <v>22</v>
      </c>
      <c r="L58" s="77" t="n">
        <v>488.4</v>
      </c>
      <c r="M58" s="77" t="n">
        <v>2650</v>
      </c>
      <c r="N58" s="77" t="n">
        <v>184.3</v>
      </c>
      <c r="Q58" s="77" t="n">
        <v>550</v>
      </c>
      <c r="R58" s="77" t="n">
        <v>12210</v>
      </c>
      <c r="S58" s="77" t="n">
        <v>25</v>
      </c>
      <c r="T58" s="77" t="n">
        <v>54</v>
      </c>
      <c r="U58" s="77" t="n">
        <v>300</v>
      </c>
      <c r="V58" s="77" t="inlineStr">
        <is>
          <t>Industrial UAV</t>
        </is>
      </c>
      <c r="W58" s="77" t="inlineStr">
        <is>
          <t>Scraped from genstattu.com. https://genstattu.com/tattu-plus-25c-22000mah-6s1p-xt90-smart-lipo-battery.html</t>
        </is>
      </c>
    </row>
    <row r="59">
      <c r="A59" s="77" t="inlineStr">
        <is>
          <t>TATTU_TATTU_PLUS2_15C_12000MAH_6S1P_EC5_SMART_LIPO</t>
        </is>
      </c>
      <c r="B59" s="77" t="inlineStr">
        <is>
          <t>Tattu Plus 12000mAh 6s 15C 22.2V Smart Lipo Battery Pack with EC5 Plug (New Version)</t>
        </is>
      </c>
      <c r="C59" s="77" t="inlineStr">
        <is>
          <t>CELL_LIPO_GENERIC</t>
        </is>
      </c>
      <c r="D59" s="77" t="inlineStr">
        <is>
          <t>LIPO</t>
        </is>
      </c>
      <c r="E59" s="77" t="n">
        <v>6</v>
      </c>
      <c r="F59" s="77" t="n">
        <v>9</v>
      </c>
      <c r="G59" s="77" t="n">
        <v>54</v>
      </c>
      <c r="H59" s="77" t="n">
        <v>22.2</v>
      </c>
      <c r="I59" s="77" t="n">
        <v>25.2</v>
      </c>
      <c r="J59" s="77" t="n">
        <v>19.8</v>
      </c>
      <c r="K59" s="77" t="n">
        <v>12</v>
      </c>
      <c r="L59" s="77" t="n">
        <v>266.4</v>
      </c>
      <c r="M59" s="77" t="n">
        <v>1670</v>
      </c>
      <c r="N59" s="77" t="n">
        <v>159.5</v>
      </c>
      <c r="Q59" s="77" t="n">
        <v>180</v>
      </c>
      <c r="R59" s="77" t="n">
        <v>3996</v>
      </c>
      <c r="S59" s="77" t="n">
        <v>15</v>
      </c>
      <c r="T59" s="77" t="n">
        <v>54</v>
      </c>
      <c r="U59" s="77" t="n">
        <v>300</v>
      </c>
      <c r="V59" s="77" t="inlineStr">
        <is>
          <t>Industrial UAV</t>
        </is>
      </c>
      <c r="W59" s="77" t="inlineStr">
        <is>
          <t>Scraped from genstattu.com. https://genstattu.com/tattu-plus2-15c-12000mah-6s1p-ec5-smart-lipo-battery.html</t>
        </is>
      </c>
    </row>
    <row r="60">
      <c r="A60" s="77" t="inlineStr">
        <is>
          <t>TATTU_TATTU_PLUS_15C_12000MAH_6S1P_AS150_XT150_PLU</t>
        </is>
      </c>
      <c r="B60" s="77" t="inlineStr">
        <is>
          <t>Tattu Plus 12000mAh 6S 22.2V 15C Lipo Smart Battery Pack with AS150 + XT150 Plug (New Version)</t>
        </is>
      </c>
      <c r="C60" s="77" t="inlineStr">
        <is>
          <t>CELL_LIPO_GENERIC</t>
        </is>
      </c>
      <c r="D60" s="77" t="inlineStr">
        <is>
          <t>LIPO</t>
        </is>
      </c>
      <c r="E60" s="77" t="n">
        <v>6</v>
      </c>
      <c r="F60" s="77" t="n">
        <v>9</v>
      </c>
      <c r="G60" s="77" t="n">
        <v>54</v>
      </c>
      <c r="H60" s="77" t="n">
        <v>22.2</v>
      </c>
      <c r="I60" s="77" t="n">
        <v>25.2</v>
      </c>
      <c r="J60" s="77" t="n">
        <v>19.8</v>
      </c>
      <c r="K60" s="77" t="n">
        <v>12</v>
      </c>
      <c r="L60" s="77" t="n">
        <v>266.4</v>
      </c>
      <c r="M60" s="77" t="n">
        <v>1670</v>
      </c>
      <c r="N60" s="77" t="n">
        <v>159.5</v>
      </c>
      <c r="Q60" s="77" t="n">
        <v>180</v>
      </c>
      <c r="R60" s="77" t="n">
        <v>3996</v>
      </c>
      <c r="S60" s="77" t="n">
        <v>15</v>
      </c>
      <c r="T60" s="77" t="n">
        <v>54</v>
      </c>
      <c r="U60" s="77" t="n">
        <v>300</v>
      </c>
      <c r="V60" s="77" t="inlineStr">
        <is>
          <t>Industrial UAV</t>
        </is>
      </c>
      <c r="W60" s="77" t="inlineStr">
        <is>
          <t>Scraped from genstattu.com. https://genstattu.com/tattu-plus-15c-12000mah-6s1p-as150-xt150-plug-lipo-battery.html</t>
        </is>
      </c>
    </row>
    <row r="61">
      <c r="A61" s="77" t="inlineStr">
        <is>
          <t>TATTU_TATTU_PLUS_22_2V_25C_10000MAH_6S_LIPO_SMART_</t>
        </is>
      </c>
      <c r="B61" s="77" t="inlineStr">
        <is>
          <t>Tattu Plus 22.2V 25C 10000mAh 6S Lipo Smart Battery Pack with EC5 Plug</t>
        </is>
      </c>
      <c r="C61" s="77" t="inlineStr">
        <is>
          <t>CELL_LIPO_GENERIC</t>
        </is>
      </c>
      <c r="D61" s="77" t="inlineStr">
        <is>
          <t>LIPO</t>
        </is>
      </c>
      <c r="E61" s="77" t="n">
        <v>6</v>
      </c>
      <c r="F61" s="77" t="n">
        <v>9</v>
      </c>
      <c r="G61" s="77" t="n">
        <v>54</v>
      </c>
      <c r="H61" s="77" t="n">
        <v>22.2</v>
      </c>
      <c r="I61" s="77" t="n">
        <v>25.2</v>
      </c>
      <c r="J61" s="77" t="n">
        <v>19.8</v>
      </c>
      <c r="K61" s="77" t="n">
        <v>10</v>
      </c>
      <c r="L61" s="77" t="n">
        <v>222</v>
      </c>
      <c r="M61" s="77" t="n">
        <v>1517</v>
      </c>
      <c r="N61" s="77" t="n">
        <v>146.3</v>
      </c>
      <c r="Q61" s="77" t="n">
        <v>250</v>
      </c>
      <c r="R61" s="77" t="n">
        <v>5550</v>
      </c>
      <c r="S61" s="77" t="n">
        <v>25</v>
      </c>
      <c r="T61" s="77" t="n">
        <v>54</v>
      </c>
      <c r="U61" s="77" t="n">
        <v>300</v>
      </c>
      <c r="V61" s="77" t="inlineStr">
        <is>
          <t>Industrial UAV</t>
        </is>
      </c>
      <c r="W61" s="77" t="inlineStr">
        <is>
          <t>Scraped from genstattu.com. https://genstattu.com/tattu-plus-22-2v-25c-10000mah-6s-lipo-smart-battery-pack-with-ec5-plug.html</t>
        </is>
      </c>
    </row>
    <row r="62">
      <c r="A62" s="77" t="inlineStr">
        <is>
          <t>TATTU_TATTU_PLUS_22_2V_25C_6S_LIPO_BATTERY_10000_M</t>
        </is>
      </c>
      <c r="B62" s="77" t="inlineStr">
        <is>
          <t>Tattu Plus 10000mAh 6S 22.2V 25C Lipo Battery with AS150+XT150 Plug (new version)</t>
        </is>
      </c>
      <c r="C62" s="77" t="inlineStr">
        <is>
          <t>CELL_LIPO_GENERIC</t>
        </is>
      </c>
      <c r="D62" s="77" t="inlineStr">
        <is>
          <t>LIPO</t>
        </is>
      </c>
      <c r="E62" s="77" t="n">
        <v>6</v>
      </c>
      <c r="F62" s="77" t="n">
        <v>9</v>
      </c>
      <c r="G62" s="77" t="n">
        <v>54</v>
      </c>
      <c r="H62" s="77" t="n">
        <v>22.2</v>
      </c>
      <c r="I62" s="77" t="n">
        <v>25.2</v>
      </c>
      <c r="J62" s="77" t="n">
        <v>19.8</v>
      </c>
      <c r="K62" s="77" t="n">
        <v>10</v>
      </c>
      <c r="L62" s="77" t="n">
        <v>222</v>
      </c>
      <c r="M62" s="77" t="n">
        <v>1517</v>
      </c>
      <c r="N62" s="77" t="n">
        <v>146.3</v>
      </c>
      <c r="Q62" s="77" t="n">
        <v>250</v>
      </c>
      <c r="R62" s="77" t="n">
        <v>5550</v>
      </c>
      <c r="S62" s="77" t="n">
        <v>25</v>
      </c>
      <c r="T62" s="77" t="n">
        <v>54</v>
      </c>
      <c r="U62" s="77" t="n">
        <v>300</v>
      </c>
      <c r="V62" s="77" t="inlineStr">
        <is>
          <t>Industrial UAV</t>
        </is>
      </c>
      <c r="W62" s="77" t="inlineStr">
        <is>
          <t>Scraped from genstattu.com. https://genstattu.com/tattu-plus-22-2v-25c-6s-liPo-battery-10000-mah-with-as150-xt150-plug.html</t>
        </is>
      </c>
    </row>
    <row r="63">
      <c r="A63" s="77" t="inlineStr">
        <is>
          <t>TATTU_TATTU_PLUS_22000_MAH_6S_1P_LIPO_SMART_BATTER</t>
        </is>
      </c>
      <c r="B63" s="77" t="inlineStr">
        <is>
          <t>Tattu Plus 6s 22000mAh 25C 22.2V Lipo Smart Battery Pack with AS150+XT150 Plug (new version)</t>
        </is>
      </c>
      <c r="C63" s="77" t="inlineStr">
        <is>
          <t>CELL_LIPO_GENERIC</t>
        </is>
      </c>
      <c r="D63" s="77" t="inlineStr">
        <is>
          <t>LIPO</t>
        </is>
      </c>
      <c r="E63" s="77" t="n">
        <v>6</v>
      </c>
      <c r="F63" s="77" t="n">
        <v>9</v>
      </c>
      <c r="G63" s="77" t="n">
        <v>54</v>
      </c>
      <c r="H63" s="77" t="n">
        <v>22.2</v>
      </c>
      <c r="I63" s="77" t="n">
        <v>25.2</v>
      </c>
      <c r="J63" s="77" t="n">
        <v>19.8</v>
      </c>
      <c r="K63" s="77" t="n">
        <v>22</v>
      </c>
      <c r="L63" s="77" t="n">
        <v>488.4</v>
      </c>
      <c r="M63" s="77" t="n">
        <v>2650</v>
      </c>
      <c r="N63" s="77" t="n">
        <v>184.3</v>
      </c>
      <c r="Q63" s="77" t="n">
        <v>550</v>
      </c>
      <c r="R63" s="77" t="n">
        <v>12210</v>
      </c>
      <c r="S63" s="77" t="n">
        <v>25</v>
      </c>
      <c r="T63" s="77" t="n">
        <v>54</v>
      </c>
      <c r="U63" s="77" t="n">
        <v>300</v>
      </c>
      <c r="V63" s="77" t="inlineStr">
        <is>
          <t>Industrial UAV</t>
        </is>
      </c>
      <c r="W63" s="77" t="inlineStr">
        <is>
          <t>Scraped from genstattu.com. https://genstattu.com/tattu-plus-22000-mah-6s-1p-lipo-smart-battery-pack-with-as150-xt150-plug</t>
        </is>
      </c>
    </row>
    <row r="64">
      <c r="A64" s="77" t="inlineStr">
        <is>
          <t>TATTU_TATTU_5200MAH_14_8V_35C_4S1P_LIPO_BATTERY_PA</t>
        </is>
      </c>
      <c r="B64" s="77" t="inlineStr">
        <is>
          <t>Tattu G-tech 5200mAh 4S 35C 14.8V Lipo Battery Pack with XT60 Plug</t>
        </is>
      </c>
      <c r="C64" s="77" t="inlineStr">
        <is>
          <t>CELL_LIPO_GENERIC</t>
        </is>
      </c>
      <c r="D64" s="77" t="inlineStr">
        <is>
          <t>LIPO</t>
        </is>
      </c>
      <c r="E64" s="77" t="n">
        <v>4</v>
      </c>
      <c r="F64" s="77" t="n">
        <v>1</v>
      </c>
      <c r="G64" s="77" t="n">
        <v>4</v>
      </c>
      <c r="H64" s="77" t="n">
        <v>14.8</v>
      </c>
      <c r="I64" s="77" t="n">
        <v>16.8</v>
      </c>
      <c r="J64" s="77" t="n">
        <v>13.2</v>
      </c>
      <c r="K64" s="77" t="n">
        <v>5.2</v>
      </c>
      <c r="L64" s="77" t="n">
        <v>77</v>
      </c>
      <c r="M64" s="77" t="n">
        <v>1000</v>
      </c>
      <c r="N64" s="77" t="n">
        <v>77</v>
      </c>
      <c r="Q64" s="77" t="n">
        <v>182</v>
      </c>
      <c r="R64" s="77" t="n">
        <v>2694</v>
      </c>
      <c r="S64" s="77" t="n">
        <v>35</v>
      </c>
      <c r="T64" s="77" t="n">
        <v>4</v>
      </c>
      <c r="U64" s="77" t="n">
        <v>300</v>
      </c>
      <c r="V64" s="77" t="inlineStr">
        <is>
          <t>Industrial UAV</t>
        </is>
      </c>
      <c r="W64" s="77" t="inlineStr">
        <is>
          <t>Scraped from genstattu.com. https://genstattu.com/tattu-5200mah-14-8v-35c-4s1p-lipo-battery-pack-with-xt60-plug.html</t>
        </is>
      </c>
    </row>
    <row r="65">
      <c r="A65" s="77" t="inlineStr">
        <is>
          <t>TATTU_TATTU_10000MAH_14_8V_25C_4S1P_LIPO_BATTERY_P</t>
        </is>
      </c>
      <c r="B65" s="77" t="inlineStr">
        <is>
          <t>Tattu 4S 10000mAh 14.8V 25C Lipo Battery Pack without Plug</t>
        </is>
      </c>
      <c r="C65" s="77" t="inlineStr">
        <is>
          <t>CELL_LIPO_GENERIC</t>
        </is>
      </c>
      <c r="D65" s="77" t="inlineStr">
        <is>
          <t>LIPO</t>
        </is>
      </c>
      <c r="E65" s="77" t="n">
        <v>4</v>
      </c>
      <c r="F65" s="77" t="n">
        <v>1</v>
      </c>
      <c r="G65" s="77" t="n">
        <v>4</v>
      </c>
      <c r="H65" s="77" t="n">
        <v>14.8</v>
      </c>
      <c r="I65" s="77" t="n">
        <v>16.8</v>
      </c>
      <c r="J65" s="77" t="n">
        <v>13.2</v>
      </c>
      <c r="K65" s="77" t="n">
        <v>10</v>
      </c>
      <c r="L65" s="77" t="n">
        <v>148</v>
      </c>
      <c r="M65" s="77" t="n">
        <v>1000</v>
      </c>
      <c r="N65" s="77" t="n">
        <v>148</v>
      </c>
      <c r="Q65" s="77" t="n">
        <v>250</v>
      </c>
      <c r="R65" s="77" t="n">
        <v>3700</v>
      </c>
      <c r="S65" s="77" t="n">
        <v>25</v>
      </c>
      <c r="T65" s="77" t="n">
        <v>4</v>
      </c>
      <c r="U65" s="77" t="n">
        <v>300</v>
      </c>
      <c r="V65" s="77" t="inlineStr">
        <is>
          <t>Industrial UAV</t>
        </is>
      </c>
      <c r="W65" s="77" t="inlineStr">
        <is>
          <t>Scraped from genstattu.com. https://genstattu.com/tattu-10000mah-14-8v-25c-4s1p-lipo-battery-pack-without-plug.html</t>
        </is>
      </c>
    </row>
    <row r="66">
      <c r="A66" s="77" t="inlineStr">
        <is>
          <t>TATTU_TATTU_4500MAH_22_2V_25C_6S1P_LIPO_BATTERY_PA</t>
        </is>
      </c>
      <c r="B66" s="77" t="inlineStr">
        <is>
          <t>Tattu 4500mAh 6s 25C 22.2V Lipo Battery Pack with XT60 Plug</t>
        </is>
      </c>
      <c r="C66" s="77" t="inlineStr">
        <is>
          <t>CELL_LIPO_GENERIC</t>
        </is>
      </c>
      <c r="D66" s="77" t="inlineStr">
        <is>
          <t>LIPO</t>
        </is>
      </c>
      <c r="E66" s="77" t="n">
        <v>6</v>
      </c>
      <c r="F66" s="77" t="n">
        <v>1</v>
      </c>
      <c r="G66" s="77" t="n">
        <v>6</v>
      </c>
      <c r="H66" s="77" t="n">
        <v>22.2</v>
      </c>
      <c r="I66" s="77" t="n">
        <v>25.2</v>
      </c>
      <c r="J66" s="77" t="n">
        <v>19.8</v>
      </c>
      <c r="K66" s="77" t="n">
        <v>4.5</v>
      </c>
      <c r="L66" s="77" t="n">
        <v>99.90000000000001</v>
      </c>
      <c r="M66" s="77" t="n">
        <v>1000</v>
      </c>
      <c r="N66" s="77" t="n">
        <v>99.90000000000001</v>
      </c>
      <c r="Q66" s="77" t="n">
        <v>112.5</v>
      </c>
      <c r="R66" s="77" t="n">
        <v>2498</v>
      </c>
      <c r="S66" s="77" t="n">
        <v>25</v>
      </c>
      <c r="T66" s="77" t="n">
        <v>6</v>
      </c>
      <c r="U66" s="77" t="n">
        <v>300</v>
      </c>
      <c r="V66" s="77" t="inlineStr">
        <is>
          <t>Industrial UAV</t>
        </is>
      </c>
      <c r="W66" s="77" t="inlineStr">
        <is>
          <t>Scraped from genstattu.com. https://genstattu.com/tattu-4500mah-22-2v-25c-6s1p-lipo-battery-pack-with-xt60-plug.html</t>
        </is>
      </c>
    </row>
    <row r="67">
      <c r="A67" s="77" t="inlineStr">
        <is>
          <t>TATTU_TATTU_6000MAH_6S1P_35C_22_2V_LIPO_BATTERY_PA</t>
        </is>
      </c>
      <c r="B67" s="77" t="inlineStr">
        <is>
          <t>Tattu 6S 6000mAh 35C 22.2V Lipo Battery Pack with XT60 Plug</t>
        </is>
      </c>
      <c r="C67" s="77" t="inlineStr">
        <is>
          <t>CELL_LIPO_GENERIC</t>
        </is>
      </c>
      <c r="D67" s="77" t="inlineStr">
        <is>
          <t>LIPO</t>
        </is>
      </c>
      <c r="E67" s="77" t="n">
        <v>6</v>
      </c>
      <c r="F67" s="77" t="n">
        <v>1</v>
      </c>
      <c r="G67" s="77" t="n">
        <v>6</v>
      </c>
      <c r="H67" s="77" t="n">
        <v>22.2</v>
      </c>
      <c r="I67" s="77" t="n">
        <v>25.2</v>
      </c>
      <c r="J67" s="77" t="n">
        <v>19.8</v>
      </c>
      <c r="K67" s="77" t="n">
        <v>6</v>
      </c>
      <c r="L67" s="77" t="n">
        <v>133.2</v>
      </c>
      <c r="M67" s="77" t="n">
        <v>1000</v>
      </c>
      <c r="N67" s="77" t="n">
        <v>133.2</v>
      </c>
      <c r="Q67" s="77" t="n">
        <v>210</v>
      </c>
      <c r="R67" s="77" t="n">
        <v>4662</v>
      </c>
      <c r="S67" s="77" t="n">
        <v>35</v>
      </c>
      <c r="T67" s="77" t="n">
        <v>6</v>
      </c>
      <c r="U67" s="77" t="n">
        <v>300</v>
      </c>
      <c r="V67" s="77" t="inlineStr">
        <is>
          <t>Industrial UAV</t>
        </is>
      </c>
      <c r="W67" s="77" t="inlineStr">
        <is>
          <t>Scraped from genstattu.com. https://genstattu.com/tattu-6000mah-6s1p-35c-22-2v-lipo-battery-pack-with-xt60-plug.html</t>
        </is>
      </c>
    </row>
    <row r="68">
      <c r="A68" s="77" t="inlineStr">
        <is>
          <t>TATTU_TATTU_7000MAH_6S1P_25C_22_2V_LIPO_BATTERY_PA</t>
        </is>
      </c>
      <c r="B68" s="77" t="inlineStr">
        <is>
          <t>Tattu G-tech 6S 7000mAh 25C 22.2V Lipo Battery Pack with XT60 Plug</t>
        </is>
      </c>
      <c r="C68" s="77" t="inlineStr">
        <is>
          <t>CELL_LIPO_GENERIC</t>
        </is>
      </c>
      <c r="D68" s="77" t="inlineStr">
        <is>
          <t>LIPO</t>
        </is>
      </c>
      <c r="E68" s="77" t="n">
        <v>6</v>
      </c>
      <c r="F68" s="77" t="n">
        <v>1</v>
      </c>
      <c r="G68" s="77" t="n">
        <v>6</v>
      </c>
      <c r="H68" s="77" t="n">
        <v>22.2</v>
      </c>
      <c r="I68" s="77" t="n">
        <v>25.2</v>
      </c>
      <c r="J68" s="77" t="n">
        <v>19.8</v>
      </c>
      <c r="K68" s="77" t="n">
        <v>7</v>
      </c>
      <c r="L68" s="77" t="n">
        <v>155.4</v>
      </c>
      <c r="M68" s="77" t="n">
        <v>870</v>
      </c>
      <c r="N68" s="77" t="n">
        <v>178.6</v>
      </c>
      <c r="Q68" s="77" t="n">
        <v>175</v>
      </c>
      <c r="R68" s="77" t="n">
        <v>3885</v>
      </c>
      <c r="S68" s="77" t="n">
        <v>25</v>
      </c>
      <c r="T68" s="77" t="n">
        <v>6</v>
      </c>
      <c r="U68" s="77" t="n">
        <v>300</v>
      </c>
      <c r="V68" s="77" t="inlineStr">
        <is>
          <t>Industrial UAV</t>
        </is>
      </c>
      <c r="W68" s="77" t="inlineStr">
        <is>
          <t>Scraped from genstattu.com. https://genstattu.com/tattu-7000mah-6s1p-25c-22-2v-lipo-battery-pack-with-xt60-plug.html</t>
        </is>
      </c>
    </row>
    <row r="69">
      <c r="A69" s="77" t="inlineStr">
        <is>
          <t>TATTU_TATTU_8000MAH_22_2V_25C_6S1P_LIPO_BATTERY_PA</t>
        </is>
      </c>
      <c r="B69" s="77" t="inlineStr">
        <is>
          <t>Tattu G-tech 6S 8000mAh 25C 22.2V Lipo Battery Pack with XT60 Plug</t>
        </is>
      </c>
      <c r="C69" s="77" t="inlineStr">
        <is>
          <t>CELL_LIPO_GENERIC</t>
        </is>
      </c>
      <c r="D69" s="77" t="inlineStr">
        <is>
          <t>LIPO</t>
        </is>
      </c>
      <c r="E69" s="77" t="n">
        <v>6</v>
      </c>
      <c r="F69" s="77" t="n">
        <v>1</v>
      </c>
      <c r="G69" s="77" t="n">
        <v>6</v>
      </c>
      <c r="H69" s="77" t="n">
        <v>22.2</v>
      </c>
      <c r="I69" s="77" t="n">
        <v>25.2</v>
      </c>
      <c r="J69" s="77" t="n">
        <v>19.8</v>
      </c>
      <c r="K69" s="77" t="n">
        <v>8</v>
      </c>
      <c r="L69" s="77" t="n">
        <v>177.6</v>
      </c>
      <c r="M69" s="77" t="n">
        <v>1000</v>
      </c>
      <c r="N69" s="77" t="n">
        <v>177.6</v>
      </c>
      <c r="Q69" s="77" t="n">
        <v>200</v>
      </c>
      <c r="R69" s="77" t="n">
        <v>4440</v>
      </c>
      <c r="S69" s="77" t="n">
        <v>25</v>
      </c>
      <c r="T69" s="77" t="n">
        <v>6</v>
      </c>
      <c r="U69" s="77" t="n">
        <v>300</v>
      </c>
      <c r="V69" s="77" t="inlineStr">
        <is>
          <t>Industrial UAV</t>
        </is>
      </c>
      <c r="W69" s="77" t="inlineStr">
        <is>
          <t>Scraped from genstattu.com. https://genstattu.com/tattu-8000mah-22-2v-25c-6s1p-lipo-battery-pack-with-xt60-plug.html</t>
        </is>
      </c>
    </row>
    <row r="70">
      <c r="A70" s="77" t="inlineStr">
        <is>
          <t>TATTU_TATTU_30000MAH_22_2V_25C_6S1P_LIPO_BATTERY_P</t>
        </is>
      </c>
      <c r="B70" s="77" t="inlineStr">
        <is>
          <t>Tattu G-Tech 30000mAh 6S 22.2V 25C Lipo Battery Pack with AS150+XT150 Plug</t>
        </is>
      </c>
      <c r="C70" s="77" t="inlineStr">
        <is>
          <t>CELL_LIPO_GENERIC</t>
        </is>
      </c>
      <c r="D70" s="77" t="inlineStr">
        <is>
          <t>LIPO</t>
        </is>
      </c>
      <c r="E70" s="77" t="n">
        <v>6</v>
      </c>
      <c r="F70" s="77" t="n">
        <v>7</v>
      </c>
      <c r="G70" s="77" t="n">
        <v>42</v>
      </c>
      <c r="H70" s="77" t="n">
        <v>22.2</v>
      </c>
      <c r="I70" s="77" t="n">
        <v>25.2</v>
      </c>
      <c r="J70" s="77" t="n">
        <v>19.8</v>
      </c>
      <c r="K70" s="77" t="n">
        <v>30</v>
      </c>
      <c r="L70" s="77" t="n">
        <v>666</v>
      </c>
      <c r="M70" s="77" t="n">
        <v>3673</v>
      </c>
      <c r="N70" s="77" t="n">
        <v>181.3</v>
      </c>
      <c r="Q70" s="77" t="n">
        <v>750</v>
      </c>
      <c r="R70" s="77" t="n">
        <v>16650</v>
      </c>
      <c r="S70" s="77" t="n">
        <v>25</v>
      </c>
      <c r="T70" s="77" t="n">
        <v>42</v>
      </c>
      <c r="U70" s="77" t="n">
        <v>300</v>
      </c>
      <c r="V70" s="77" t="inlineStr">
        <is>
          <t>Industrial UAV</t>
        </is>
      </c>
      <c r="W70" s="77" t="inlineStr">
        <is>
          <t>Scraped from genstattu.com. https://genstattu.com/tattu-30000mah-22-2v-25c-6s1p-lipo-battery-pack.html</t>
        </is>
      </c>
    </row>
    <row r="71">
      <c r="A71" s="77" t="inlineStr">
        <is>
          <t>TATTU_TATTU_12000MAH_6S1P_15C_LIPO_BATTERY_PACK_WI</t>
        </is>
      </c>
      <c r="B71" s="77" t="inlineStr">
        <is>
          <t>Tattu 15C 6S 12000mAh Battery Pack with AS150 +XT150 Plug</t>
        </is>
      </c>
      <c r="C71" s="77" t="inlineStr">
        <is>
          <t>CELL_LIPO_GENERIC</t>
        </is>
      </c>
      <c r="D71" s="77" t="inlineStr">
        <is>
          <t>LIPO</t>
        </is>
      </c>
      <c r="E71" s="77" t="n">
        <v>6</v>
      </c>
      <c r="F71" s="77" t="n">
        <v>1</v>
      </c>
      <c r="G71" s="77" t="n">
        <v>6</v>
      </c>
      <c r="H71" s="77" t="n">
        <v>22.2</v>
      </c>
      <c r="I71" s="77" t="n">
        <v>25.2</v>
      </c>
      <c r="J71" s="77" t="n">
        <v>19.8</v>
      </c>
      <c r="K71" s="77" t="n">
        <v>12</v>
      </c>
      <c r="L71" s="77" t="n">
        <v>266.4</v>
      </c>
      <c r="M71" s="77" t="n">
        <v>1620</v>
      </c>
      <c r="N71" s="77" t="n">
        <v>164.4</v>
      </c>
      <c r="Q71" s="77" t="n">
        <v>180</v>
      </c>
      <c r="R71" s="77" t="n">
        <v>3996</v>
      </c>
      <c r="S71" s="77" t="n">
        <v>15</v>
      </c>
      <c r="T71" s="77" t="n">
        <v>6</v>
      </c>
      <c r="U71" s="77" t="n">
        <v>300</v>
      </c>
      <c r="V71" s="77" t="inlineStr">
        <is>
          <t>Industrial UAV</t>
        </is>
      </c>
      <c r="W71" s="77" t="inlineStr">
        <is>
          <t>Scraped from genstattu.com. https://genstattu.com/tattu-12000mah-6s1p-15c-lipo-battery-pack-with-as150-xt150-plug.html</t>
        </is>
      </c>
    </row>
    <row r="72">
      <c r="A72" s="77" t="inlineStr">
        <is>
          <t>TATTU_TATTU_9000MAH_22_2V_6S1P_25C_LIPO_BATTERY_PA</t>
        </is>
      </c>
      <c r="B72" s="77" t="inlineStr">
        <is>
          <t>Tattu 9000mAh 6S 25C 22.2V Lipo Battery Pack with NA Plug</t>
        </is>
      </c>
      <c r="C72" s="77" t="inlineStr">
        <is>
          <t>CELL_LIPO_GENERIC</t>
        </is>
      </c>
      <c r="D72" s="77" t="inlineStr">
        <is>
          <t>LIPO</t>
        </is>
      </c>
      <c r="E72" s="77" t="n">
        <v>6</v>
      </c>
      <c r="F72" s="77" t="n">
        <v>1</v>
      </c>
      <c r="G72" s="77" t="n">
        <v>6</v>
      </c>
      <c r="H72" s="77" t="n">
        <v>22.2</v>
      </c>
      <c r="I72" s="77" t="n">
        <v>25.2</v>
      </c>
      <c r="J72" s="77" t="n">
        <v>19.8</v>
      </c>
      <c r="K72" s="77" t="n">
        <v>9</v>
      </c>
      <c r="L72" s="77" t="n">
        <v>199.8</v>
      </c>
      <c r="M72" s="77" t="n">
        <v>1000</v>
      </c>
      <c r="N72" s="77" t="n">
        <v>199.8</v>
      </c>
      <c r="Q72" s="77" t="n">
        <v>225</v>
      </c>
      <c r="R72" s="77" t="n">
        <v>4995</v>
      </c>
      <c r="S72" s="77" t="n">
        <v>25</v>
      </c>
      <c r="T72" s="77" t="n">
        <v>6</v>
      </c>
      <c r="U72" s="77" t="n">
        <v>300</v>
      </c>
      <c r="V72" s="77" t="inlineStr">
        <is>
          <t>Industrial UAV</t>
        </is>
      </c>
      <c r="W72" s="77" t="inlineStr">
        <is>
          <t>Scraped from genstattu.com. https://genstattu.com/tattu-9000mah-22-2v-6s1p-25c-lipo-battery-pack-with-na-plug.html</t>
        </is>
      </c>
    </row>
    <row r="73">
      <c r="A73" s="77" t="inlineStr">
        <is>
          <t>GREPOW_4_45_V_ULTRA_HIGH_VOLTAGE_SERIES_BATTERY_PA</t>
        </is>
      </c>
      <c r="B73" s="77" t="inlineStr">
        <is>
          <t>4.45V Semi-Solid State Ultra High Voltage Battery Pack</t>
        </is>
      </c>
      <c r="C73" s="77" t="inlineStr">
        <is>
          <t>CELL_LIPO_GENERIC</t>
        </is>
      </c>
      <c r="D73" s="77" t="inlineStr">
        <is>
          <t>LIPO</t>
        </is>
      </c>
      <c r="E73" s="77" t="n">
        <v>4</v>
      </c>
      <c r="F73" s="77" t="n">
        <v>1</v>
      </c>
      <c r="G73" s="77" t="n">
        <v>4</v>
      </c>
      <c r="H73" s="77" t="n">
        <v>14.8</v>
      </c>
      <c r="I73" s="77" t="n">
        <v>16.8</v>
      </c>
      <c r="J73" s="77" t="n">
        <v>13.2</v>
      </c>
      <c r="K73" s="77" t="n">
        <v>2.25</v>
      </c>
      <c r="L73" s="77" t="n">
        <v>33.3</v>
      </c>
      <c r="M73" s="77" t="n">
        <v>1072</v>
      </c>
      <c r="N73" s="77" t="n">
        <v>31.1</v>
      </c>
      <c r="Q73" s="77" t="n">
        <v>6.8</v>
      </c>
      <c r="R73" s="77" t="n">
        <v>101</v>
      </c>
      <c r="S73" s="77" t="n">
        <v>3</v>
      </c>
      <c r="T73" s="77" t="n">
        <v>4</v>
      </c>
      <c r="U73" s="77" t="n">
        <v>400</v>
      </c>
      <c r="V73" s="77" t="inlineStr">
        <is>
          <t>Industrial UAV</t>
        </is>
      </c>
      <c r="W73" s="77" t="inlineStr">
        <is>
          <t>Scraped from grepow.com. https://www.grepow.com/semi-solid-state-battery/4-45-v-ultra-high-voltage-series-battery-pack.html</t>
        </is>
      </c>
    </row>
    <row r="74">
      <c r="A74" s="77" t="inlineStr">
        <is>
          <t>GREPOW_COMPACT_SMART_BATTERIES_TATTU_NEO_SERIES</t>
        </is>
      </c>
      <c r="B74" s="77" t="inlineStr">
        <is>
          <t>High Energy Density 6S-18S Compact Smart Batteries</t>
        </is>
      </c>
      <c r="C74" s="77" t="inlineStr">
        <is>
          <t>CELL_LIPO_GENERIC</t>
        </is>
      </c>
      <c r="D74" s="77" t="inlineStr">
        <is>
          <t>LIPO</t>
        </is>
      </c>
      <c r="E74" s="77" t="n">
        <v>6</v>
      </c>
      <c r="F74" s="77" t="n">
        <v>1</v>
      </c>
      <c r="G74" s="77" t="n">
        <v>6</v>
      </c>
      <c r="H74" s="77" t="n">
        <v>22.2</v>
      </c>
      <c r="I74" s="77" t="n">
        <v>25.2</v>
      </c>
      <c r="J74" s="77" t="n">
        <v>19.8</v>
      </c>
      <c r="K74" s="77" t="n">
        <v>33</v>
      </c>
      <c r="L74" s="77" t="n">
        <v>732.6</v>
      </c>
      <c r="M74" s="77" t="n">
        <v>2804</v>
      </c>
      <c r="N74" s="77" t="n">
        <v>261.3</v>
      </c>
      <c r="Q74" s="77" t="n">
        <v>330</v>
      </c>
      <c r="R74" s="77" t="n">
        <v>7326</v>
      </c>
      <c r="S74" s="77" t="n">
        <v>10</v>
      </c>
      <c r="T74" s="77" t="n">
        <v>6</v>
      </c>
      <c r="U74" s="77" t="n">
        <v>400</v>
      </c>
      <c r="V74" s="77" t="inlineStr">
        <is>
          <t>Industrial UAV</t>
        </is>
      </c>
      <c r="W74" s="77" t="inlineStr">
        <is>
          <t>Scraped from grepow.com. https://www.grepow.com/semi-solid-state-battery/compact-smart-batteries-tattu-neo-series.html</t>
        </is>
      </c>
    </row>
    <row r="75">
      <c r="A75" s="77" t="inlineStr">
        <is>
          <t>GREPOW_TATTU_6S_LIPO_DRONE_BATTERY</t>
        </is>
      </c>
      <c r="B75" s="77" t="inlineStr">
        <is>
          <t>High Voltage 6S LiPo Drone Battery 22.2V–23.7V</t>
        </is>
      </c>
      <c r="C75" s="77" t="inlineStr">
        <is>
          <t>CELL_LIPO_GENERIC</t>
        </is>
      </c>
      <c r="D75" s="77" t="inlineStr">
        <is>
          <t>LIPO</t>
        </is>
      </c>
      <c r="E75" s="77" t="n">
        <v>6</v>
      </c>
      <c r="F75" s="77" t="n">
        <v>1</v>
      </c>
      <c r="G75" s="77" t="n">
        <v>6</v>
      </c>
      <c r="H75" s="77" t="n">
        <v>22.2</v>
      </c>
      <c r="I75" s="77" t="n">
        <v>25.2</v>
      </c>
      <c r="J75" s="77" t="n">
        <v>19.8</v>
      </c>
      <c r="K75" s="77" t="n">
        <v>4.5</v>
      </c>
      <c r="L75" s="77" t="n">
        <v>99.90000000000001</v>
      </c>
      <c r="M75" s="77" t="n">
        <v>650</v>
      </c>
      <c r="N75" s="77" t="n">
        <v>153.7</v>
      </c>
      <c r="Q75" s="77" t="n">
        <v>45</v>
      </c>
      <c r="R75" s="77" t="n">
        <v>999</v>
      </c>
      <c r="S75" s="77" t="n">
        <v>10</v>
      </c>
      <c r="T75" s="77" t="n">
        <v>6</v>
      </c>
      <c r="U75" s="77" t="n">
        <v>400</v>
      </c>
      <c r="V75" s="77" t="inlineStr">
        <is>
          <t>Industrial UAV</t>
        </is>
      </c>
      <c r="W75" s="77" t="inlineStr">
        <is>
          <t>Scraped from grepow.com. http://www.grepow.com/uav-battery/tattu-6s-lipo-drone-battery.html</t>
        </is>
      </c>
    </row>
    <row r="76">
      <c r="A76" s="77" t="inlineStr">
        <is>
          <t>GREPOW_TATTU_12S_LIPO_DRONE_BATTERY</t>
        </is>
      </c>
      <c r="B76" s="77" t="inlineStr">
        <is>
          <t>High-Voltage 12S LiPo Drone Batteries | 44.4V–47.4V</t>
        </is>
      </c>
      <c r="C76" s="77" t="inlineStr">
        <is>
          <t>CELL_LIPO_GENERIC</t>
        </is>
      </c>
      <c r="D76" s="77" t="inlineStr">
        <is>
          <t>LIPO</t>
        </is>
      </c>
      <c r="E76" s="77" t="n">
        <v>12</v>
      </c>
      <c r="F76" s="77" t="n">
        <v>1</v>
      </c>
      <c r="G76" s="77" t="n">
        <v>12</v>
      </c>
      <c r="H76" s="77" t="n">
        <v>44.4</v>
      </c>
      <c r="I76" s="77" t="n">
        <v>50.4</v>
      </c>
      <c r="J76" s="77" t="n">
        <v>39.6</v>
      </c>
      <c r="K76" s="77" t="n">
        <v>10</v>
      </c>
      <c r="L76" s="77" t="n">
        <v>444</v>
      </c>
      <c r="M76" s="77" t="n">
        <v>2800</v>
      </c>
      <c r="N76" s="77" t="n">
        <v>158.6</v>
      </c>
      <c r="Q76" s="77" t="n">
        <v>100</v>
      </c>
      <c r="R76" s="77" t="n">
        <v>4440</v>
      </c>
      <c r="S76" s="77" t="n">
        <v>10</v>
      </c>
      <c r="T76" s="77" t="n">
        <v>12</v>
      </c>
      <c r="U76" s="77" t="n">
        <v>400</v>
      </c>
      <c r="V76" s="77" t="inlineStr">
        <is>
          <t>Industrial UAV</t>
        </is>
      </c>
      <c r="W76" s="77" t="inlineStr">
        <is>
          <t>Scraped from grepow.com. http://www.grepow.com/uav-battery/tattu-12s-lipo-drone-battery.html</t>
        </is>
      </c>
    </row>
    <row r="77">
      <c r="A77" s="77" t="inlineStr">
        <is>
          <t>GREPOW_TATTU_PLUS_SERIES_DRONE_BATTERY</t>
        </is>
      </c>
      <c r="B77" s="77" t="inlineStr">
        <is>
          <t>Tattu Plus DroneCAN Smart LiPo Drone Battery</t>
        </is>
      </c>
      <c r="C77" s="77" t="inlineStr">
        <is>
          <t>CELL_LIPO_GENERIC</t>
        </is>
      </c>
      <c r="D77" s="77" t="inlineStr">
        <is>
          <t>LIPO</t>
        </is>
      </c>
      <c r="E77" s="77" t="n">
        <v>6</v>
      </c>
      <c r="F77" s="77" t="n">
        <v>1</v>
      </c>
      <c r="G77" s="77" t="n">
        <v>6</v>
      </c>
      <c r="H77" s="77" t="n">
        <v>22.2</v>
      </c>
      <c r="I77" s="77" t="n">
        <v>25.2</v>
      </c>
      <c r="J77" s="77" t="n">
        <v>19.8</v>
      </c>
      <c r="K77" s="77" t="n">
        <v>10</v>
      </c>
      <c r="L77" s="77" t="n">
        <v>222</v>
      </c>
      <c r="M77" s="77" t="n">
        <v>1466</v>
      </c>
      <c r="N77" s="77" t="n">
        <v>151.4</v>
      </c>
      <c r="Q77" s="77" t="n">
        <v>250</v>
      </c>
      <c r="R77" s="77" t="n">
        <v>5550</v>
      </c>
      <c r="S77" s="77" t="n">
        <v>25</v>
      </c>
      <c r="T77" s="77" t="n">
        <v>6</v>
      </c>
      <c r="U77" s="77" t="n">
        <v>400</v>
      </c>
      <c r="V77" s="77" t="inlineStr">
        <is>
          <t>Industrial UAV</t>
        </is>
      </c>
      <c r="W77" s="77" t="inlineStr">
        <is>
          <t>Scraped from grepow.com. http://www.grepow.com/uav-battery/tattu-plus-series-drone-battery.html</t>
        </is>
      </c>
    </row>
    <row r="78">
      <c r="A78" s="77" t="inlineStr">
        <is>
          <t>GREPOW_TATTU_AGRICULTURAL_DRONE_BATTERY</t>
        </is>
      </c>
      <c r="B78" s="77" t="inlineStr">
        <is>
          <t>Tattu 12/14/18S Smart Drone Battery for Spray Drones</t>
        </is>
      </c>
      <c r="C78" s="77" t="inlineStr">
        <is>
          <t>CELL_LIPO_GENERIC</t>
        </is>
      </c>
      <c r="D78" s="77" t="inlineStr">
        <is>
          <t>LIPO</t>
        </is>
      </c>
      <c r="E78" s="77" t="n">
        <v>18</v>
      </c>
      <c r="F78" s="77" t="n">
        <v>1</v>
      </c>
      <c r="G78" s="77" t="n">
        <v>18</v>
      </c>
      <c r="H78" s="77" t="n">
        <v>66.59999999999999</v>
      </c>
      <c r="I78" s="77" t="n">
        <v>75.59999999999999</v>
      </c>
      <c r="J78" s="77" t="n">
        <v>59.4</v>
      </c>
      <c r="K78" s="77" t="n">
        <v>16</v>
      </c>
      <c r="L78" s="77" t="n">
        <v>1065.6</v>
      </c>
      <c r="M78" s="77" t="n">
        <v>4550</v>
      </c>
      <c r="N78" s="77" t="n">
        <v>234.2</v>
      </c>
      <c r="Q78" s="77" t="n">
        <v>400</v>
      </c>
      <c r="R78" s="77" t="n">
        <v>26640</v>
      </c>
      <c r="S78" s="77" t="n">
        <v>25</v>
      </c>
      <c r="T78" s="77" t="n">
        <v>18</v>
      </c>
      <c r="U78" s="77" t="n">
        <v>400</v>
      </c>
      <c r="V78" s="77" t="inlineStr">
        <is>
          <t>Industrial UAV</t>
        </is>
      </c>
      <c r="W78" s="77" t="inlineStr">
        <is>
          <t>Scraped from grepow.com. http://www.grepow.com/uav-battery/tattu-agricultural-drone-battery.html</t>
        </is>
      </c>
    </row>
    <row r="79">
      <c r="A79" s="77" t="inlineStr">
        <is>
          <t>GREPOW_TATTU_4S_LIPO_DRONE_BATTERY</t>
        </is>
      </c>
      <c r="B79" s="77" t="inlineStr">
        <is>
          <t>4S LiPo Battery for Consumer and Commercial Drones</t>
        </is>
      </c>
      <c r="C79" s="77" t="inlineStr">
        <is>
          <t>CELL_LIPO_GENERIC</t>
        </is>
      </c>
      <c r="D79" s="77" t="inlineStr">
        <is>
          <t>LIPO</t>
        </is>
      </c>
      <c r="E79" s="77" t="n">
        <v>4</v>
      </c>
      <c r="F79" s="77" t="n">
        <v>1</v>
      </c>
      <c r="G79" s="77" t="n">
        <v>4</v>
      </c>
      <c r="H79" s="77" t="n">
        <v>14.8</v>
      </c>
      <c r="I79" s="77" t="n">
        <v>16.8</v>
      </c>
      <c r="J79" s="77" t="n">
        <v>13.2</v>
      </c>
      <c r="K79" s="77" t="n">
        <v>3.7</v>
      </c>
      <c r="L79" s="77" t="n">
        <v>54.8</v>
      </c>
      <c r="M79" s="77" t="n">
        <v>361</v>
      </c>
      <c r="N79" s="77" t="n">
        <v>151.8</v>
      </c>
      <c r="Q79" s="77" t="n">
        <v>166.5</v>
      </c>
      <c r="R79" s="77" t="n">
        <v>2464</v>
      </c>
      <c r="S79" s="77" t="n">
        <v>45</v>
      </c>
      <c r="T79" s="77" t="n">
        <v>4</v>
      </c>
      <c r="U79" s="77" t="n">
        <v>400</v>
      </c>
      <c r="V79" s="77" t="inlineStr">
        <is>
          <t>Industrial UAV</t>
        </is>
      </c>
      <c r="W79" s="77" t="inlineStr">
        <is>
          <t>Scraped from grepow.com. http://www.grepow.com/uav-battery/tattu-4s-lipo-drone-battery.html</t>
        </is>
      </c>
    </row>
    <row r="80">
      <c r="A80" s="77" t="inlineStr">
        <is>
          <t>GREPOW_LOW_TEMPERATURE_6S_14500MAH_22_2V_30C_LIPO_</t>
        </is>
      </c>
      <c r="B80" s="77" t="inlineStr">
        <is>
          <t>Tattu Low-Temperature 30C 14500mAh 22.2V 6S Lipo Drone Battery</t>
        </is>
      </c>
      <c r="C80" s="77" t="inlineStr">
        <is>
          <t>CELL_LIPO_GENERIC</t>
        </is>
      </c>
      <c r="D80" s="77" t="inlineStr">
        <is>
          <t>LIPO</t>
        </is>
      </c>
      <c r="E80" s="77" t="n">
        <v>6</v>
      </c>
      <c r="F80" s="77" t="n">
        <v>1</v>
      </c>
      <c r="G80" s="77" t="n">
        <v>6</v>
      </c>
      <c r="H80" s="77" t="n">
        <v>22.2</v>
      </c>
      <c r="I80" s="77" t="n">
        <v>25.2</v>
      </c>
      <c r="J80" s="77" t="n">
        <v>19.8</v>
      </c>
      <c r="K80" s="77" t="n">
        <v>14.5</v>
      </c>
      <c r="L80" s="77" t="n">
        <v>321.9</v>
      </c>
      <c r="M80" s="77" t="n">
        <v>1961</v>
      </c>
      <c r="N80" s="77" t="n">
        <v>164.2</v>
      </c>
      <c r="Q80" s="77" t="n">
        <v>435</v>
      </c>
      <c r="R80" s="77" t="n">
        <v>9657</v>
      </c>
      <c r="S80" s="77" t="n">
        <v>30</v>
      </c>
      <c r="T80" s="77" t="n">
        <v>6</v>
      </c>
      <c r="U80" s="77" t="n">
        <v>400</v>
      </c>
      <c r="V80" s="77" t="inlineStr">
        <is>
          <t>Industrial UAV</t>
        </is>
      </c>
      <c r="W80" s="77" t="inlineStr">
        <is>
          <t>Scraped from grepow.com. http://www.grepow.com/uav-battery/low-temperature-6s-14500mah-22-2v-30c-lipo-drone-battery.html</t>
        </is>
      </c>
    </row>
    <row r="81">
      <c r="A81" s="77" t="inlineStr">
        <is>
          <t>GREPOW_TATTU_12S_10000MAH_44_4V_30C_LIPO_BATTERY</t>
        </is>
      </c>
      <c r="B81" s="77" t="inlineStr">
        <is>
          <t>Tattu 12S 30C 10000mAh 44.4V Lipo Drone Battery</t>
        </is>
      </c>
      <c r="C81" s="77" t="inlineStr">
        <is>
          <t>CELL_LIPO_GENERIC</t>
        </is>
      </c>
      <c r="D81" s="77" t="inlineStr">
        <is>
          <t>LIPO</t>
        </is>
      </c>
      <c r="E81" s="77" t="n">
        <v>12</v>
      </c>
      <c r="F81" s="77" t="n">
        <v>1</v>
      </c>
      <c r="G81" s="77" t="n">
        <v>12</v>
      </c>
      <c r="H81" s="77" t="n">
        <v>44.4</v>
      </c>
      <c r="I81" s="77" t="n">
        <v>50.4</v>
      </c>
      <c r="J81" s="77" t="n">
        <v>39.6</v>
      </c>
      <c r="K81" s="77" t="n">
        <v>10</v>
      </c>
      <c r="L81" s="77" t="n">
        <v>444</v>
      </c>
      <c r="M81" s="77" t="n">
        <v>2800</v>
      </c>
      <c r="N81" s="77" t="n">
        <v>158.6</v>
      </c>
      <c r="Q81" s="77" t="n">
        <v>300</v>
      </c>
      <c r="R81" s="77" t="n">
        <v>13320</v>
      </c>
      <c r="S81" s="77" t="n">
        <v>30</v>
      </c>
      <c r="T81" s="77" t="n">
        <v>12</v>
      </c>
      <c r="U81" s="77" t="n">
        <v>400</v>
      </c>
      <c r="V81" s="77" t="inlineStr">
        <is>
          <t>Industrial UAV</t>
        </is>
      </c>
      <c r="W81" s="77" t="inlineStr">
        <is>
          <t>Scraped from grepow.com. http://www.grepow.com/uav-battery/tattu-12s-10000mah-44-4v-30c-lipo-battery.html</t>
        </is>
      </c>
    </row>
    <row r="82">
      <c r="A82" s="77" t="inlineStr">
        <is>
          <t>GREPOW_TATTU_G_TECH_4S_16000MAH_14_8V_30C_LIPO_DRO</t>
        </is>
      </c>
      <c r="B82" s="77" t="inlineStr">
        <is>
          <t>Tattu G-Tech 4S 16000mAh 14.8V 30C Lipo Drone Battery For UAV</t>
        </is>
      </c>
      <c r="C82" s="77" t="inlineStr">
        <is>
          <t>CELL_LIPO_GENERIC</t>
        </is>
      </c>
      <c r="D82" s="77" t="inlineStr">
        <is>
          <t>LIPO</t>
        </is>
      </c>
      <c r="E82" s="77" t="n">
        <v>4</v>
      </c>
      <c r="F82" s="77" t="n">
        <v>1</v>
      </c>
      <c r="G82" s="77" t="n">
        <v>4</v>
      </c>
      <c r="H82" s="77" t="n">
        <v>14.8</v>
      </c>
      <c r="I82" s="77" t="n">
        <v>16.8</v>
      </c>
      <c r="J82" s="77" t="n">
        <v>13.2</v>
      </c>
      <c r="K82" s="77" t="n">
        <v>16</v>
      </c>
      <c r="L82" s="77" t="n">
        <v>236.8</v>
      </c>
      <c r="M82" s="77" t="n">
        <v>1351</v>
      </c>
      <c r="N82" s="77" t="n">
        <v>175.3</v>
      </c>
      <c r="Q82" s="77" t="n">
        <v>480</v>
      </c>
      <c r="R82" s="77" t="n">
        <v>7104</v>
      </c>
      <c r="S82" s="77" t="n">
        <v>30</v>
      </c>
      <c r="T82" s="77" t="n">
        <v>4</v>
      </c>
      <c r="U82" s="77" t="n">
        <v>400</v>
      </c>
      <c r="V82" s="77" t="inlineStr">
        <is>
          <t>Industrial UAV</t>
        </is>
      </c>
      <c r="W82" s="77" t="inlineStr">
        <is>
          <t>Scraped from grepow.com. http://www.grepow.com/uav-battery/tattu-g-tech-4s-16000mah-14-8v-30c-lipo-drone-battery.html</t>
        </is>
      </c>
    </row>
    <row r="83">
      <c r="A83" s="77" t="inlineStr">
        <is>
          <t>GREPOW_TATTU_G_TECH_4S_22000MAH_14_8V_25C_LIPO_DRO</t>
        </is>
      </c>
      <c r="B83" s="77" t="inlineStr">
        <is>
          <t>Tattu G-Tech 4S 22000mAh 14.8V 25C Lipo Drone Battery For UAV</t>
        </is>
      </c>
      <c r="C83" s="77" t="inlineStr">
        <is>
          <t>CELL_LIPO_GENERIC</t>
        </is>
      </c>
      <c r="D83" s="77" t="inlineStr">
        <is>
          <t>LIPO</t>
        </is>
      </c>
      <c r="E83" s="77" t="n">
        <v>4</v>
      </c>
      <c r="F83" s="77" t="n">
        <v>1</v>
      </c>
      <c r="G83" s="77" t="n">
        <v>4</v>
      </c>
      <c r="H83" s="77" t="n">
        <v>14.8</v>
      </c>
      <c r="I83" s="77" t="n">
        <v>16.8</v>
      </c>
      <c r="J83" s="77" t="n">
        <v>13.2</v>
      </c>
      <c r="K83" s="77" t="n">
        <v>22</v>
      </c>
      <c r="L83" s="77" t="n">
        <v>325.6</v>
      </c>
      <c r="M83" s="77" t="n">
        <v>2450</v>
      </c>
      <c r="N83" s="77" t="n">
        <v>132.9</v>
      </c>
      <c r="Q83" s="77" t="n">
        <v>550</v>
      </c>
      <c r="R83" s="77" t="n">
        <v>8140</v>
      </c>
      <c r="S83" s="77" t="n">
        <v>25</v>
      </c>
      <c r="T83" s="77" t="n">
        <v>4</v>
      </c>
      <c r="U83" s="77" t="n">
        <v>400</v>
      </c>
      <c r="V83" s="77" t="inlineStr">
        <is>
          <t>Industrial UAV</t>
        </is>
      </c>
      <c r="W83" s="77" t="inlineStr">
        <is>
          <t>Scraped from grepow.com. http://www.grepow.com/uav-battery/tattu-g-tech-4s-22000mah-14-8v-25c-lipo-drone-battery.html</t>
        </is>
      </c>
    </row>
    <row r="84">
      <c r="A84" s="77" t="inlineStr">
        <is>
          <t>GREPOW_15C_16000_12S_LIPO_TATTU_SMART_UAV_BATTERY</t>
        </is>
      </c>
      <c r="B84" s="77" t="inlineStr">
        <is>
          <t>Tattu Plus 1.0 Compact 12S 16000mAh 15C Lipo Smart Drone Battery</t>
        </is>
      </c>
      <c r="C84" s="77" t="inlineStr">
        <is>
          <t>CELL_LIPO_GENERIC</t>
        </is>
      </c>
      <c r="D84" s="77" t="inlineStr">
        <is>
          <t>LIPO</t>
        </is>
      </c>
      <c r="E84" s="77" t="n">
        <v>12</v>
      </c>
      <c r="F84" s="77" t="n">
        <v>1</v>
      </c>
      <c r="G84" s="77" t="n">
        <v>12</v>
      </c>
      <c r="H84" s="77" t="n">
        <v>44.4</v>
      </c>
      <c r="I84" s="77" t="n">
        <v>50.4</v>
      </c>
      <c r="J84" s="77" t="n">
        <v>39.6</v>
      </c>
      <c r="K84" s="77" t="n">
        <v>16</v>
      </c>
      <c r="L84" s="77" t="n">
        <v>710.4</v>
      </c>
      <c r="M84" s="77" t="n">
        <v>4250</v>
      </c>
      <c r="N84" s="77" t="n">
        <v>167.2</v>
      </c>
      <c r="Q84" s="77" t="n">
        <v>240</v>
      </c>
      <c r="R84" s="77" t="n">
        <v>10656</v>
      </c>
      <c r="S84" s="77" t="n">
        <v>15</v>
      </c>
      <c r="T84" s="77" t="n">
        <v>12</v>
      </c>
      <c r="U84" s="77" t="n">
        <v>400</v>
      </c>
      <c r="V84" s="77" t="inlineStr">
        <is>
          <t>Industrial UAV</t>
        </is>
      </c>
      <c r="W84" s="77" t="inlineStr">
        <is>
          <t>Scraped from grepow.com. http://www.grepow.com/uav-battery/15c-16000-12s-lipo-tattu-smart-uav-battery.html</t>
        </is>
      </c>
    </row>
    <row r="85">
      <c r="A85" s="77" t="inlineStr">
        <is>
          <t>GREPOW_TATTU_PRO_12S_22000MAH_45_6V_25C_LIPO_SMART</t>
        </is>
      </c>
      <c r="B85" s="77" t="inlineStr">
        <is>
          <t>12S1P 22Ah 25C LiHv 45.6V Smart Drone Battery</t>
        </is>
      </c>
      <c r="C85" s="77" t="inlineStr">
        <is>
          <t>CELL_LIPO_GENERIC</t>
        </is>
      </c>
      <c r="D85" s="77" t="inlineStr">
        <is>
          <t>LIPO</t>
        </is>
      </c>
      <c r="E85" s="77" t="n">
        <v>12</v>
      </c>
      <c r="F85" s="77" t="n">
        <v>1</v>
      </c>
      <c r="G85" s="77" t="n">
        <v>12</v>
      </c>
      <c r="H85" s="77" t="n">
        <v>44.4</v>
      </c>
      <c r="I85" s="77" t="n">
        <v>50.4</v>
      </c>
      <c r="J85" s="77" t="n">
        <v>39.6</v>
      </c>
      <c r="K85" s="77" t="n">
        <v>22</v>
      </c>
      <c r="L85" s="77" t="n">
        <v>976.8</v>
      </c>
      <c r="M85" s="77" t="n">
        <v>5750</v>
      </c>
      <c r="N85" s="77" t="n">
        <v>169.9</v>
      </c>
      <c r="Q85" s="77" t="n">
        <v>550</v>
      </c>
      <c r="R85" s="77" t="n">
        <v>24420</v>
      </c>
      <c r="S85" s="77" t="n">
        <v>25</v>
      </c>
      <c r="T85" s="77" t="n">
        <v>12</v>
      </c>
      <c r="U85" s="77" t="n">
        <v>400</v>
      </c>
      <c r="V85" s="77" t="inlineStr">
        <is>
          <t>Industrial UAV</t>
        </is>
      </c>
      <c r="W85" s="77" t="inlineStr">
        <is>
          <t>Scraped from grepow.com. http://www.grepow.com/uav-battery/tattu-pro-12s-22000mah-45-6v-25c-lipo-smart-drone-battery.html</t>
        </is>
      </c>
    </row>
    <row r="86">
      <c r="A86" s="77" t="inlineStr">
        <is>
          <t>GREPOW_TATTU_G_TECH_6S_22000MAH_22_2V_30C_LIPO_DRO</t>
        </is>
      </c>
      <c r="B86" s="77" t="inlineStr">
        <is>
          <t>Tattu G-Tech 6S 22000mAh 30C Lipo Drone Battery</t>
        </is>
      </c>
      <c r="C86" s="77" t="inlineStr">
        <is>
          <t>CELL_LIPO_GENERIC</t>
        </is>
      </c>
      <c r="D86" s="77" t="inlineStr">
        <is>
          <t>LIPO</t>
        </is>
      </c>
      <c r="E86" s="77" t="n">
        <v>6</v>
      </c>
      <c r="F86" s="77" t="n">
        <v>1</v>
      </c>
      <c r="G86" s="77" t="n">
        <v>6</v>
      </c>
      <c r="H86" s="77" t="n">
        <v>22.2</v>
      </c>
      <c r="I86" s="77" t="n">
        <v>25.2</v>
      </c>
      <c r="J86" s="77" t="n">
        <v>19.8</v>
      </c>
      <c r="K86" s="77" t="n">
        <v>22</v>
      </c>
      <c r="L86" s="77" t="n">
        <v>488.4</v>
      </c>
      <c r="M86" s="77" t="n">
        <v>2460</v>
      </c>
      <c r="N86" s="77" t="n">
        <v>198.5</v>
      </c>
      <c r="Q86" s="77" t="n">
        <v>660</v>
      </c>
      <c r="R86" s="77" t="n">
        <v>14652</v>
      </c>
      <c r="S86" s="77" t="n">
        <v>30</v>
      </c>
      <c r="T86" s="77" t="n">
        <v>6</v>
      </c>
      <c r="U86" s="77" t="n">
        <v>400</v>
      </c>
      <c r="V86" s="77" t="inlineStr">
        <is>
          <t>Industrial UAV</t>
        </is>
      </c>
      <c r="W86" s="77" t="inlineStr">
        <is>
          <t>Scraped from grepow.com. http://www.grepow.com/uav-battery/tattu-g-tech-6s-22000mah-22-2v-30c-lipo-drone-battery.html</t>
        </is>
      </c>
    </row>
    <row r="87">
      <c r="A87" s="77" t="inlineStr">
        <is>
          <t>GREPOW_TATTU_G_TECH_6S_8000MAH_22_2V_25C_LIPO_DRON</t>
        </is>
      </c>
      <c r="B87" s="77" t="inlineStr">
        <is>
          <t>Tattu G-Tech 6S 8000mAh 22.2V 25C Lipo Drone Battery</t>
        </is>
      </c>
      <c r="C87" s="77" t="inlineStr">
        <is>
          <t>CELL_LIPO_GENERIC</t>
        </is>
      </c>
      <c r="D87" s="77" t="inlineStr">
        <is>
          <t>LIPO</t>
        </is>
      </c>
      <c r="E87" s="77" t="n">
        <v>6</v>
      </c>
      <c r="F87" s="77" t="n">
        <v>1</v>
      </c>
      <c r="G87" s="77" t="n">
        <v>6</v>
      </c>
      <c r="H87" s="77" t="n">
        <v>22.2</v>
      </c>
      <c r="I87" s="77" t="n">
        <v>25.2</v>
      </c>
      <c r="J87" s="77" t="n">
        <v>19.8</v>
      </c>
      <c r="K87" s="77" t="n">
        <v>8</v>
      </c>
      <c r="L87" s="77" t="n">
        <v>177.6</v>
      </c>
      <c r="M87" s="77" t="n">
        <v>1140</v>
      </c>
      <c r="N87" s="77" t="n">
        <v>155.8</v>
      </c>
      <c r="Q87" s="77" t="n">
        <v>200</v>
      </c>
      <c r="R87" s="77" t="n">
        <v>4440</v>
      </c>
      <c r="S87" s="77" t="n">
        <v>25</v>
      </c>
      <c r="T87" s="77" t="n">
        <v>6</v>
      </c>
      <c r="U87" s="77" t="n">
        <v>400</v>
      </c>
      <c r="V87" s="77" t="inlineStr">
        <is>
          <t>Industrial UAV</t>
        </is>
      </c>
      <c r="W87" s="77" t="inlineStr">
        <is>
          <t>Scraped from grepow.com. http://www.grepow.com/uav-battery/tattu-g-tech-6s-8000mah-22-2v-25c-lipo-drone-battery.html</t>
        </is>
      </c>
    </row>
    <row r="88">
      <c r="A88" s="77" t="inlineStr">
        <is>
          <t>GREPOW_25C_22000_14S_LIPO_TATTU_PRO_SMART_BATTERY</t>
        </is>
      </c>
      <c r="B88" s="77" t="inlineStr">
        <is>
          <t>Tattu Pro 14S Lipo 22000mAh 51.8V Smart UAV Drone Battery Pack</t>
        </is>
      </c>
      <c r="C88" s="77" t="inlineStr">
        <is>
          <t>CELL_LIPO_GENERIC</t>
        </is>
      </c>
      <c r="D88" s="77" t="inlineStr">
        <is>
          <t>LIPO</t>
        </is>
      </c>
      <c r="E88" s="77" t="n">
        <v>14</v>
      </c>
      <c r="F88" s="77" t="n">
        <v>1</v>
      </c>
      <c r="G88" s="77" t="n">
        <v>14</v>
      </c>
      <c r="H88" s="77" t="n">
        <v>51.8</v>
      </c>
      <c r="I88" s="77" t="n">
        <v>58.8</v>
      </c>
      <c r="J88" s="77" t="n">
        <v>46.2</v>
      </c>
      <c r="K88" s="77" t="n">
        <v>22</v>
      </c>
      <c r="L88" s="77" t="n">
        <v>1139.6</v>
      </c>
      <c r="M88" s="77" t="n">
        <v>7200</v>
      </c>
      <c r="N88" s="77" t="n">
        <v>158.3</v>
      </c>
      <c r="Q88" s="77" t="n">
        <v>550</v>
      </c>
      <c r="R88" s="77" t="n">
        <v>28490</v>
      </c>
      <c r="S88" s="77" t="n">
        <v>25</v>
      </c>
      <c r="T88" s="77" t="n">
        <v>14</v>
      </c>
      <c r="U88" s="77" t="n">
        <v>400</v>
      </c>
      <c r="V88" s="77" t="inlineStr">
        <is>
          <t>Industrial UAV</t>
        </is>
      </c>
      <c r="W88" s="77" t="inlineStr">
        <is>
          <t>Scraped from grepow.com. http://www.grepow.com/uav-battery/25c-22000-14s-lipo-tattu-pro-smart-battery.html</t>
        </is>
      </c>
    </row>
    <row r="89">
      <c r="A89" s="77" t="inlineStr">
        <is>
          <t>GREPOW_TATTU_G_TECH_6S_25000MAH_22_8V_10C_LIPO_DRO</t>
        </is>
      </c>
      <c r="B89" s="77" t="inlineStr">
        <is>
          <t>Tattu 6S 25000mAh 22.8V 10C HV Lipo Drone Battery For UAV</t>
        </is>
      </c>
      <c r="C89" s="77" t="inlineStr">
        <is>
          <t>CELL_LIPO_GENERIC</t>
        </is>
      </c>
      <c r="D89" s="77" t="inlineStr">
        <is>
          <t>LIPO</t>
        </is>
      </c>
      <c r="E89" s="77" t="n">
        <v>6</v>
      </c>
      <c r="F89" s="77" t="n">
        <v>7</v>
      </c>
      <c r="G89" s="77" t="n">
        <v>42</v>
      </c>
      <c r="H89" s="77" t="n">
        <v>22.2</v>
      </c>
      <c r="I89" s="77" t="n">
        <v>25.2</v>
      </c>
      <c r="J89" s="77" t="n">
        <v>19.8</v>
      </c>
      <c r="K89" s="77" t="n">
        <v>25</v>
      </c>
      <c r="L89" s="77" t="n">
        <v>555</v>
      </c>
      <c r="M89" s="77" t="n">
        <v>2542</v>
      </c>
      <c r="N89" s="77" t="n">
        <v>218.3</v>
      </c>
      <c r="Q89" s="77" t="n">
        <v>250</v>
      </c>
      <c r="R89" s="77" t="n">
        <v>5550</v>
      </c>
      <c r="S89" s="77" t="n">
        <v>10</v>
      </c>
      <c r="T89" s="77" t="n">
        <v>42</v>
      </c>
      <c r="U89" s="77" t="n">
        <v>400</v>
      </c>
      <c r="V89" s="77" t="inlineStr">
        <is>
          <t>Industrial UAV</t>
        </is>
      </c>
      <c r="W89" s="77" t="inlineStr">
        <is>
          <t>Scraped from grepow.com. http://www.grepow.com/uav-battery/tattu-g-tech-6s-25000mah-22-8v-10c-lipo-drone-battery.html</t>
        </is>
      </c>
    </row>
    <row r="90">
      <c r="A90" s="77" t="inlineStr">
        <is>
          <t>GREPOW_6S_22000MAH_22_2V_25C_LIPO_SMART_DRONE_BATT</t>
        </is>
      </c>
      <c r="B90" s="77" t="inlineStr">
        <is>
          <t>Tattu Plus 6S 22000mAh 22.2V 25C Lipo Smart Drone Battery</t>
        </is>
      </c>
      <c r="C90" s="77" t="inlineStr">
        <is>
          <t>CELL_LIPO_GENERIC</t>
        </is>
      </c>
      <c r="D90" s="77" t="inlineStr">
        <is>
          <t>LIPO</t>
        </is>
      </c>
      <c r="E90" s="77" t="n">
        <v>6</v>
      </c>
      <c r="F90" s="77" t="n">
        <v>9</v>
      </c>
      <c r="G90" s="77" t="n">
        <v>54</v>
      </c>
      <c r="H90" s="77" t="n">
        <v>22.2</v>
      </c>
      <c r="I90" s="77" t="n">
        <v>25.2</v>
      </c>
      <c r="J90" s="77" t="n">
        <v>19.8</v>
      </c>
      <c r="K90" s="77" t="n">
        <v>22</v>
      </c>
      <c r="L90" s="77" t="n">
        <v>488.4</v>
      </c>
      <c r="M90" s="77" t="n">
        <v>2640</v>
      </c>
      <c r="N90" s="77" t="n">
        <v>185</v>
      </c>
      <c r="Q90" s="77" t="n">
        <v>550</v>
      </c>
      <c r="R90" s="77" t="n">
        <v>12210</v>
      </c>
      <c r="S90" s="77" t="n">
        <v>25</v>
      </c>
      <c r="T90" s="77" t="n">
        <v>54</v>
      </c>
      <c r="U90" s="77" t="n">
        <v>400</v>
      </c>
      <c r="V90" s="77" t="inlineStr">
        <is>
          <t>Industrial UAV</t>
        </is>
      </c>
      <c r="W90" s="77" t="inlineStr">
        <is>
          <t>Scraped from grepow.com. http://www.grepow.com/uav-battery/6s-22000mah-22-2v-25c-lipo-smart-drone-battery.html</t>
        </is>
      </c>
    </row>
    <row r="91">
      <c r="A91" s="77" t="inlineStr">
        <is>
          <t>GREPOW_TATTU_PLUS_1_0_12S_10000MAH_44_4V_15C_LIPO_</t>
        </is>
      </c>
      <c r="B91" s="77" t="inlineStr">
        <is>
          <t>Tattu Plus 1.0 12S Compact 10000mAh 44.4V15C Lipo Drone Battery</t>
        </is>
      </c>
      <c r="C91" s="77" t="inlineStr">
        <is>
          <t>CELL_LIPO_GENERIC</t>
        </is>
      </c>
      <c r="D91" s="77" t="inlineStr">
        <is>
          <t>LIPO</t>
        </is>
      </c>
      <c r="E91" s="77" t="n">
        <v>12</v>
      </c>
      <c r="F91" s="77" t="n">
        <v>1</v>
      </c>
      <c r="G91" s="77" t="n">
        <v>12</v>
      </c>
      <c r="H91" s="77" t="n">
        <v>44.4</v>
      </c>
      <c r="I91" s="77" t="n">
        <v>50.4</v>
      </c>
      <c r="J91" s="77" t="n">
        <v>39.6</v>
      </c>
      <c r="K91" s="77" t="n">
        <v>10</v>
      </c>
      <c r="L91" s="77" t="n">
        <v>444</v>
      </c>
      <c r="M91" s="77" t="n">
        <v>2978</v>
      </c>
      <c r="N91" s="77" t="n">
        <v>149.1</v>
      </c>
      <c r="Q91" s="77" t="n">
        <v>150</v>
      </c>
      <c r="R91" s="77" t="n">
        <v>6660</v>
      </c>
      <c r="S91" s="77" t="n">
        <v>15</v>
      </c>
      <c r="T91" s="77" t="n">
        <v>12</v>
      </c>
      <c r="U91" s="77" t="n">
        <v>400</v>
      </c>
      <c r="V91" s="77" t="inlineStr">
        <is>
          <t>Industrial UAV</t>
        </is>
      </c>
      <c r="W91" s="77" t="inlineStr">
        <is>
          <t>Scraped from grepow.com. http://www.grepow.com/uav-battery/tattu-plus-1-0-12s-10000mah-44-4v-15c-lipo-drone-battery.html</t>
        </is>
      </c>
    </row>
    <row r="92">
      <c r="A92" s="77" t="inlineStr">
        <is>
          <t>GREPOW_6S_16000MAH_22_2V_15C_LIPO_SMART_DRONE_BATT</t>
        </is>
      </c>
      <c r="B92" s="77" t="inlineStr">
        <is>
          <t>Tattu Plus 6S 16000mAh 22.2V 15C Lipo Smart Drone Battery</t>
        </is>
      </c>
      <c r="C92" s="77" t="inlineStr">
        <is>
          <t>CELL_LIPO_GENERIC</t>
        </is>
      </c>
      <c r="D92" s="77" t="inlineStr">
        <is>
          <t>LIPO</t>
        </is>
      </c>
      <c r="E92" s="77" t="n">
        <v>6</v>
      </c>
      <c r="F92" s="77" t="n">
        <v>9</v>
      </c>
      <c r="G92" s="77" t="n">
        <v>54</v>
      </c>
      <c r="H92" s="77" t="n">
        <v>22.2</v>
      </c>
      <c r="I92" s="77" t="n">
        <v>25.2</v>
      </c>
      <c r="J92" s="77" t="n">
        <v>19.8</v>
      </c>
      <c r="K92" s="77" t="n">
        <v>16</v>
      </c>
      <c r="L92" s="77" t="n">
        <v>355.2</v>
      </c>
      <c r="M92" s="77" t="n">
        <v>2063</v>
      </c>
      <c r="N92" s="77" t="n">
        <v>172.2</v>
      </c>
      <c r="Q92" s="77" t="n">
        <v>240</v>
      </c>
      <c r="R92" s="77" t="n">
        <v>5328</v>
      </c>
      <c r="S92" s="77" t="n">
        <v>15</v>
      </c>
      <c r="T92" s="77" t="n">
        <v>54</v>
      </c>
      <c r="U92" s="77" t="n">
        <v>400</v>
      </c>
      <c r="V92" s="77" t="inlineStr">
        <is>
          <t>Industrial UAV</t>
        </is>
      </c>
      <c r="W92" s="77" t="inlineStr">
        <is>
          <t>Scraped from grepow.com. http://www.grepow.com/uav-battery/6s-16000mah-22-2v-15c-lipo-smart-drone-battery.html</t>
        </is>
      </c>
    </row>
    <row r="93">
      <c r="A93" s="77" t="inlineStr">
        <is>
          <t>GREPOW_TATTU_G_TECH_6S_17000MAH_22_8V_15C_LIPO_DRO</t>
        </is>
      </c>
      <c r="B93" s="77" t="inlineStr">
        <is>
          <t>Tattu G-Tech 6S 17000mAh 22.8V 15C LiPo Drone Battery For UAV</t>
        </is>
      </c>
      <c r="C93" s="77" t="inlineStr">
        <is>
          <t>CELL_LIPO_GENERIC</t>
        </is>
      </c>
      <c r="D93" s="77" t="inlineStr">
        <is>
          <t>LIPO</t>
        </is>
      </c>
      <c r="E93" s="77" t="n">
        <v>6</v>
      </c>
      <c r="F93" s="77" t="n">
        <v>7</v>
      </c>
      <c r="G93" s="77" t="n">
        <v>42</v>
      </c>
      <c r="H93" s="77" t="n">
        <v>22.2</v>
      </c>
      <c r="I93" s="77" t="n">
        <v>25.2</v>
      </c>
      <c r="J93" s="77" t="n">
        <v>19.8</v>
      </c>
      <c r="K93" s="77" t="n">
        <v>17</v>
      </c>
      <c r="L93" s="77" t="n">
        <v>377.4</v>
      </c>
      <c r="M93" s="77" t="n">
        <v>1857</v>
      </c>
      <c r="N93" s="77" t="n">
        <v>203.2</v>
      </c>
      <c r="Q93" s="77" t="n">
        <v>255</v>
      </c>
      <c r="R93" s="77" t="n">
        <v>5661</v>
      </c>
      <c r="S93" s="77" t="n">
        <v>15</v>
      </c>
      <c r="T93" s="77" t="n">
        <v>42</v>
      </c>
      <c r="U93" s="77" t="n">
        <v>400</v>
      </c>
      <c r="V93" s="77" t="inlineStr">
        <is>
          <t>Industrial UAV</t>
        </is>
      </c>
      <c r="W93" s="77" t="inlineStr">
        <is>
          <t>Scraped from grepow.com. http://www.grepow.com/uav-battery/tattu-g-tech-6s-17000mah-22-8v-15c-lipo-drone-battery-for-uav.html</t>
        </is>
      </c>
    </row>
    <row r="94">
      <c r="A94" s="77" t="inlineStr">
        <is>
          <t>GREPOW_TATTU_G_TECH_6S_10000MAH_22_2V_30C_LIPO_DRO</t>
        </is>
      </c>
      <c r="B94" s="77" t="inlineStr">
        <is>
          <t>Tattu G-Tech 30C 6S 10000mAh 22.2V Lipo Drone Battery</t>
        </is>
      </c>
      <c r="C94" s="77" t="inlineStr">
        <is>
          <t>CELL_LIPO_GENERIC</t>
        </is>
      </c>
      <c r="D94" s="77" t="inlineStr">
        <is>
          <t>LIPO</t>
        </is>
      </c>
      <c r="E94" s="77" t="n">
        <v>6</v>
      </c>
      <c r="F94" s="77" t="n">
        <v>1</v>
      </c>
      <c r="G94" s="77" t="n">
        <v>6</v>
      </c>
      <c r="H94" s="77" t="n">
        <v>22.2</v>
      </c>
      <c r="I94" s="77" t="n">
        <v>25.2</v>
      </c>
      <c r="J94" s="77" t="n">
        <v>19.8</v>
      </c>
      <c r="K94" s="77" t="n">
        <v>10</v>
      </c>
      <c r="L94" s="77" t="n">
        <v>222</v>
      </c>
      <c r="M94" s="77" t="n">
        <v>1350</v>
      </c>
      <c r="N94" s="77" t="n">
        <v>164.4</v>
      </c>
      <c r="Q94" s="77" t="n">
        <v>300</v>
      </c>
      <c r="R94" s="77" t="n">
        <v>6660</v>
      </c>
      <c r="S94" s="77" t="n">
        <v>30</v>
      </c>
      <c r="T94" s="77" t="n">
        <v>6</v>
      </c>
      <c r="U94" s="77" t="n">
        <v>400</v>
      </c>
      <c r="V94" s="77" t="inlineStr">
        <is>
          <t>Industrial UAV</t>
        </is>
      </c>
      <c r="W94" s="77" t="inlineStr">
        <is>
          <t>Scraped from grepow.com. http://www.grepow.com/uav-battery/tattu-g-tech-6s-10000mah-22-2v-30c-lipo-drone-battery.html</t>
        </is>
      </c>
    </row>
    <row r="95">
      <c r="A95" s="77" t="inlineStr">
        <is>
          <t>GREPOW_TATTU_6S_9000MAH_22_2V_25C_LIPO_DRONE_BATTE</t>
        </is>
      </c>
      <c r="B95" s="77" t="inlineStr">
        <is>
          <t>Tattu 6S 9000mAh 22.2V 25C Lipo Drone Battery</t>
        </is>
      </c>
      <c r="C95" s="77" t="inlineStr">
        <is>
          <t>CELL_LIPO_GENERIC</t>
        </is>
      </c>
      <c r="D95" s="77" t="inlineStr">
        <is>
          <t>LIPO</t>
        </is>
      </c>
      <c r="E95" s="77" t="n">
        <v>6</v>
      </c>
      <c r="F95" s="77" t="n">
        <v>7</v>
      </c>
      <c r="G95" s="77" t="n">
        <v>42</v>
      </c>
      <c r="H95" s="77" t="n">
        <v>22.2</v>
      </c>
      <c r="I95" s="77" t="n">
        <v>25.2</v>
      </c>
      <c r="J95" s="77" t="n">
        <v>19.8</v>
      </c>
      <c r="K95" s="77" t="n">
        <v>9</v>
      </c>
      <c r="L95" s="77" t="n">
        <v>199.8</v>
      </c>
      <c r="M95" s="77" t="n">
        <v>1173</v>
      </c>
      <c r="N95" s="77" t="n">
        <v>170.3</v>
      </c>
      <c r="Q95" s="77" t="n">
        <v>225</v>
      </c>
      <c r="R95" s="77" t="n">
        <v>4995</v>
      </c>
      <c r="S95" s="77" t="n">
        <v>25</v>
      </c>
      <c r="T95" s="77" t="n">
        <v>42</v>
      </c>
      <c r="U95" s="77" t="n">
        <v>400</v>
      </c>
      <c r="V95" s="77" t="inlineStr">
        <is>
          <t>Industrial UAV</t>
        </is>
      </c>
      <c r="W95" s="77" t="inlineStr">
        <is>
          <t>Scraped from grepow.com. http://www.grepow.com/uav-battery/tattu-6s-9000mah-22-2v-25c-lipo-drone-battery.html</t>
        </is>
      </c>
    </row>
    <row r="96">
      <c r="A96" s="77" t="inlineStr">
        <is>
          <t>GREPOW_TATTU_6S_40000MAH_22_8V_10C_LIPO_DRONE_BATT</t>
        </is>
      </c>
      <c r="B96" s="77" t="inlineStr">
        <is>
          <t>Tattu 6S 40Ah 22.8V 10C HV Lipo Drone Battery For UAV</t>
        </is>
      </c>
      <c r="C96" s="77" t="inlineStr">
        <is>
          <t>CELL_LIPO_GENERIC</t>
        </is>
      </c>
      <c r="D96" s="77" t="inlineStr">
        <is>
          <t>LIPO</t>
        </is>
      </c>
      <c r="E96" s="77" t="n">
        <v>6</v>
      </c>
      <c r="F96" s="77" t="n">
        <v>1</v>
      </c>
      <c r="G96" s="77" t="n">
        <v>6</v>
      </c>
      <c r="H96" s="77" t="n">
        <v>22.2</v>
      </c>
      <c r="I96" s="77" t="n">
        <v>25.2</v>
      </c>
      <c r="J96" s="77" t="n">
        <v>19.8</v>
      </c>
      <c r="K96" s="77" t="n">
        <v>40</v>
      </c>
      <c r="L96" s="77" t="n">
        <v>888</v>
      </c>
      <c r="M96" s="77" t="n">
        <v>4130</v>
      </c>
      <c r="N96" s="77" t="n">
        <v>215</v>
      </c>
      <c r="Q96" s="77" t="n">
        <v>400</v>
      </c>
      <c r="R96" s="77" t="n">
        <v>8880</v>
      </c>
      <c r="S96" s="77" t="n">
        <v>10</v>
      </c>
      <c r="T96" s="77" t="n">
        <v>6</v>
      </c>
      <c r="U96" s="77" t="n">
        <v>400</v>
      </c>
      <c r="V96" s="77" t="inlineStr">
        <is>
          <t>Industrial UAV</t>
        </is>
      </c>
      <c r="W96" s="77" t="inlineStr">
        <is>
          <t>Scraped from grepow.com. http://www.grepow.com/uav-battery/tattu-6s-40000mah-22-8v-10c-lipo-drone-battery-for-uav.html</t>
        </is>
      </c>
    </row>
    <row r="97">
      <c r="A97" s="77" t="inlineStr">
        <is>
          <t>GREPOW_TATTU_6S_32000MAH_22_8V_10C_LIPO_DRONE_BATT</t>
        </is>
      </c>
      <c r="B97" s="77" t="inlineStr">
        <is>
          <t>Tattu 6S 32Ah 22.8V 10C HV Lipo Drone Battery For UAV</t>
        </is>
      </c>
      <c r="C97" s="77" t="inlineStr">
        <is>
          <t>CELL_LIPO_GENERIC</t>
        </is>
      </c>
      <c r="D97" s="77" t="inlineStr">
        <is>
          <t>LIPO</t>
        </is>
      </c>
      <c r="E97" s="77" t="n">
        <v>6</v>
      </c>
      <c r="F97" s="77" t="n">
        <v>1</v>
      </c>
      <c r="G97" s="77" t="n">
        <v>6</v>
      </c>
      <c r="H97" s="77" t="n">
        <v>22.2</v>
      </c>
      <c r="I97" s="77" t="n">
        <v>25.2</v>
      </c>
      <c r="J97" s="77" t="n">
        <v>19.8</v>
      </c>
      <c r="K97" s="77" t="n">
        <v>32</v>
      </c>
      <c r="L97" s="77" t="n">
        <v>710.4</v>
      </c>
      <c r="M97" s="77" t="n">
        <v>3420</v>
      </c>
      <c r="N97" s="77" t="n">
        <v>207.7</v>
      </c>
      <c r="Q97" s="77" t="n">
        <v>320</v>
      </c>
      <c r="R97" s="77" t="n">
        <v>7104</v>
      </c>
      <c r="S97" s="77" t="n">
        <v>10</v>
      </c>
      <c r="T97" s="77" t="n">
        <v>6</v>
      </c>
      <c r="U97" s="77" t="n">
        <v>400</v>
      </c>
      <c r="V97" s="77" t="inlineStr">
        <is>
          <t>Industrial UAV</t>
        </is>
      </c>
      <c r="W97" s="77" t="inlineStr">
        <is>
          <t>Scraped from grepow.com. http://www.grepow.com/uav-battery/tattu-6s-32000mah-22-8v-10c-lipo-drone-battery-for-uav.html</t>
        </is>
      </c>
    </row>
    <row r="98">
      <c r="A98" s="77" t="inlineStr">
        <is>
          <t>GREPOW_25C_10000_6S_LIPO_TATTU_SMART_BATTERY</t>
        </is>
      </c>
      <c r="B98" s="77" t="inlineStr">
        <is>
          <t>Tattu Plus 10000mAh 6S 22.2V 25C Lipo Smart Battery for Dones</t>
        </is>
      </c>
      <c r="C98" s="77" t="inlineStr">
        <is>
          <t>CELL_LIPO_GENERIC</t>
        </is>
      </c>
      <c r="D98" s="77" t="inlineStr">
        <is>
          <t>LIPO</t>
        </is>
      </c>
      <c r="E98" s="77" t="n">
        <v>6</v>
      </c>
      <c r="F98" s="77" t="n">
        <v>1</v>
      </c>
      <c r="G98" s="77" t="n">
        <v>6</v>
      </c>
      <c r="H98" s="77" t="n">
        <v>22.2</v>
      </c>
      <c r="I98" s="77" t="n">
        <v>25.2</v>
      </c>
      <c r="J98" s="77" t="n">
        <v>19.8</v>
      </c>
      <c r="K98" s="77" t="n">
        <v>10</v>
      </c>
      <c r="L98" s="77" t="n">
        <v>222</v>
      </c>
      <c r="M98" s="77" t="n">
        <v>1517</v>
      </c>
      <c r="N98" s="77" t="n">
        <v>146.3</v>
      </c>
      <c r="Q98" s="77" t="n">
        <v>250</v>
      </c>
      <c r="R98" s="77" t="n">
        <v>5550</v>
      </c>
      <c r="S98" s="77" t="n">
        <v>25</v>
      </c>
      <c r="T98" s="77" t="n">
        <v>6</v>
      </c>
      <c r="U98" s="77" t="n">
        <v>400</v>
      </c>
      <c r="V98" s="77" t="inlineStr">
        <is>
          <t>Industrial UAV</t>
        </is>
      </c>
      <c r="W98" s="77" t="inlineStr">
        <is>
          <t>Scraped from grepow.com. http://www.grepow.com/uav-battery/25c-10000-6s-lipo-tattu-smart-battery.html</t>
        </is>
      </c>
    </row>
    <row r="99">
      <c r="A99" s="77" t="inlineStr">
        <is>
          <t>GREPOW_TATTU_23000MAH_22_8_V_LIHV_POUCH_CELL_UAV_B</t>
        </is>
      </c>
      <c r="B99" s="77" t="inlineStr">
        <is>
          <t>Tattu 23000mAh 22.8V LiHv Pouch Cell UAV Battery</t>
        </is>
      </c>
      <c r="C99" s="77" t="inlineStr">
        <is>
          <t>CELL_LIPO_GENERIC</t>
        </is>
      </c>
      <c r="D99" s="77" t="inlineStr">
        <is>
          <t>LIPO</t>
        </is>
      </c>
      <c r="E99" s="77" t="n">
        <v>6</v>
      </c>
      <c r="F99" s="77" t="n">
        <v>7</v>
      </c>
      <c r="G99" s="77" t="n">
        <v>42</v>
      </c>
      <c r="H99" s="77" t="n">
        <v>22.2</v>
      </c>
      <c r="I99" s="77" t="n">
        <v>25.2</v>
      </c>
      <c r="J99" s="77" t="n">
        <v>19.8</v>
      </c>
      <c r="K99" s="77" t="n">
        <v>23</v>
      </c>
      <c r="L99" s="77" t="n">
        <v>510.6</v>
      </c>
      <c r="M99" s="77" t="n">
        <v>2474</v>
      </c>
      <c r="N99" s="77" t="n">
        <v>206.4</v>
      </c>
      <c r="Q99" s="77" t="n">
        <v>575</v>
      </c>
      <c r="R99" s="77" t="n">
        <v>12765</v>
      </c>
      <c r="S99" s="77" t="n">
        <v>25</v>
      </c>
      <c r="T99" s="77" t="n">
        <v>42</v>
      </c>
      <c r="U99" s="77" t="n">
        <v>400</v>
      </c>
      <c r="V99" s="77" t="inlineStr">
        <is>
          <t>Industrial UAV</t>
        </is>
      </c>
      <c r="W99" s="77" t="inlineStr">
        <is>
          <t>Scraped from grepow.com. http://www.grepow.com/uav-battery/tattu-23000mah-22-8-v-lihv-pouch-cell-uav-battery.html</t>
        </is>
      </c>
    </row>
    <row r="100">
      <c r="A100" s="77" t="inlineStr">
        <is>
          <t>GREPOW_6S_12000MAH_22_2V_15C_LIPO_DRONE_SMART_BATT</t>
        </is>
      </c>
      <c r="B100" s="77" t="inlineStr">
        <is>
          <t>Tattu Plus 6S 12000mAh 22.2V 15C Lipo Smart Drone Battery</t>
        </is>
      </c>
      <c r="C100" s="77" t="inlineStr">
        <is>
          <t>CELL_LIPO_GENERIC</t>
        </is>
      </c>
      <c r="D100" s="77" t="inlineStr">
        <is>
          <t>LIPO</t>
        </is>
      </c>
      <c r="E100" s="77" t="n">
        <v>6</v>
      </c>
      <c r="F100" s="77" t="n">
        <v>9</v>
      </c>
      <c r="G100" s="77" t="n">
        <v>54</v>
      </c>
      <c r="H100" s="77" t="n">
        <v>22.2</v>
      </c>
      <c r="I100" s="77" t="n">
        <v>25.2</v>
      </c>
      <c r="J100" s="77" t="n">
        <v>19.8</v>
      </c>
      <c r="K100" s="77" t="n">
        <v>12</v>
      </c>
      <c r="L100" s="77" t="n">
        <v>266.4</v>
      </c>
      <c r="M100" s="77" t="n">
        <v>1670</v>
      </c>
      <c r="N100" s="77" t="n">
        <v>159.5</v>
      </c>
      <c r="Q100" s="77" t="n">
        <v>180</v>
      </c>
      <c r="R100" s="77" t="n">
        <v>3996</v>
      </c>
      <c r="S100" s="77" t="n">
        <v>15</v>
      </c>
      <c r="T100" s="77" t="n">
        <v>54</v>
      </c>
      <c r="U100" s="77" t="n">
        <v>400</v>
      </c>
      <c r="V100" s="77" t="inlineStr">
        <is>
          <t>Industrial UAV</t>
        </is>
      </c>
      <c r="W100" s="77" t="inlineStr">
        <is>
          <t>Scraped from grepow.com. http://www.grepow.com/uav-battery/6s-12000mah-22-2v-15c-lipo-drone-smart-battery.html</t>
        </is>
      </c>
    </row>
    <row r="101">
      <c r="A101" s="77" t="inlineStr">
        <is>
          <t>GREPOW_TATTU_PRO_12S_22000MAH_44_4V_25C_LIPO_SMART</t>
        </is>
      </c>
      <c r="B101" s="77" t="inlineStr">
        <is>
          <t>12S 22000mAh 25C Lipo Smart Drone Battery</t>
        </is>
      </c>
      <c r="C101" s="77" t="inlineStr">
        <is>
          <t>CELL_LIPO_GENERIC</t>
        </is>
      </c>
      <c r="D101" s="77" t="inlineStr">
        <is>
          <t>LIPO</t>
        </is>
      </c>
      <c r="E101" s="77" t="n">
        <v>12</v>
      </c>
      <c r="F101" s="77" t="n">
        <v>1</v>
      </c>
      <c r="G101" s="77" t="n">
        <v>12</v>
      </c>
      <c r="H101" s="77" t="n">
        <v>44.4</v>
      </c>
      <c r="I101" s="77" t="n">
        <v>50.4</v>
      </c>
      <c r="J101" s="77" t="n">
        <v>39.6</v>
      </c>
      <c r="K101" s="77" t="n">
        <v>22</v>
      </c>
      <c r="L101" s="77" t="n">
        <v>976.8</v>
      </c>
      <c r="M101" s="77" t="n">
        <v>6300</v>
      </c>
      <c r="N101" s="77" t="n">
        <v>155</v>
      </c>
      <c r="Q101" s="77" t="n">
        <v>550</v>
      </c>
      <c r="R101" s="77" t="n">
        <v>24420</v>
      </c>
      <c r="S101" s="77" t="n">
        <v>25</v>
      </c>
      <c r="T101" s="77" t="n">
        <v>12</v>
      </c>
      <c r="U101" s="77" t="n">
        <v>400</v>
      </c>
      <c r="V101" s="77" t="inlineStr">
        <is>
          <t>Industrial UAV</t>
        </is>
      </c>
      <c r="W101" s="77" t="inlineStr">
        <is>
          <t>Scraped from grepow.com. http://www.grepow.com/uav-battery/tattu-pro-12s-22000mah-44-4v-25c-lipo-smart-drone-battery.html</t>
        </is>
      </c>
    </row>
    <row r="102">
      <c r="A102" s="77" t="inlineStr">
        <is>
          <t>GREPOW_TATTU_3_0_14S_19000MAH_51_8V_25C_LIPO_SMART</t>
        </is>
      </c>
      <c r="B102" s="77" t="inlineStr">
        <is>
          <t>14S 19000mAh 51.8V 25C Lipo Smart Drone Battery</t>
        </is>
      </c>
      <c r="C102" s="77" t="inlineStr">
        <is>
          <t>CELL_LIPO_GENERIC</t>
        </is>
      </c>
      <c r="D102" s="77" t="inlineStr">
        <is>
          <t>LIPO</t>
        </is>
      </c>
      <c r="E102" s="77" t="n">
        <v>14</v>
      </c>
      <c r="F102" s="77" t="n">
        <v>1</v>
      </c>
      <c r="G102" s="77" t="n">
        <v>14</v>
      </c>
      <c r="H102" s="77" t="n">
        <v>51.8</v>
      </c>
      <c r="I102" s="77" t="n">
        <v>58.8</v>
      </c>
      <c r="J102" s="77" t="n">
        <v>46.2</v>
      </c>
      <c r="K102" s="77" t="n">
        <v>19</v>
      </c>
      <c r="L102" s="77" t="n">
        <v>984.2</v>
      </c>
      <c r="M102" s="77" t="n">
        <v>7900</v>
      </c>
      <c r="N102" s="77" t="n">
        <v>124.6</v>
      </c>
      <c r="Q102" s="77" t="n">
        <v>475</v>
      </c>
      <c r="R102" s="77" t="n">
        <v>24605</v>
      </c>
      <c r="S102" s="77" t="n">
        <v>25</v>
      </c>
      <c r="T102" s="77" t="n">
        <v>14</v>
      </c>
      <c r="U102" s="77" t="n">
        <v>400</v>
      </c>
      <c r="V102" s="77" t="inlineStr">
        <is>
          <t>Industrial UAV</t>
        </is>
      </c>
      <c r="W102" s="77" t="inlineStr">
        <is>
          <t>Scraped from grepow.com. http://www.grepow.com/uav-battery/tattu-3-0-14s-19000mah-51-8v-25c-lipo-smart-drone-battery.html</t>
        </is>
      </c>
    </row>
    <row r="103">
      <c r="A103" s="77" t="inlineStr">
        <is>
          <t>GREPOW_TATTU_3_0_14S_22000MAH_51_8V_25C_LIPO_SMART</t>
        </is>
      </c>
      <c r="B103" s="77" t="inlineStr">
        <is>
          <t>Tattu 3.0 14S 22000mAh 51.8V 25C Lipo Smart Drone Battery</t>
        </is>
      </c>
      <c r="C103" s="77" t="inlineStr">
        <is>
          <t>CELL_LIPO_GENERIC</t>
        </is>
      </c>
      <c r="D103" s="77" t="inlineStr">
        <is>
          <t>LIPO</t>
        </is>
      </c>
      <c r="E103" s="77" t="n">
        <v>14</v>
      </c>
      <c r="F103" s="77" t="n">
        <v>1</v>
      </c>
      <c r="G103" s="77" t="n">
        <v>14</v>
      </c>
      <c r="H103" s="77" t="n">
        <v>51.8</v>
      </c>
      <c r="I103" s="77" t="n">
        <v>58.8</v>
      </c>
      <c r="J103" s="77" t="n">
        <v>46.2</v>
      </c>
      <c r="K103" s="77" t="n">
        <v>22</v>
      </c>
      <c r="L103" s="77" t="n">
        <v>1139.6</v>
      </c>
      <c r="M103" s="77" t="n">
        <v>8800</v>
      </c>
      <c r="N103" s="77" t="n">
        <v>129.5</v>
      </c>
      <c r="Q103" s="77" t="n">
        <v>550</v>
      </c>
      <c r="R103" s="77" t="n">
        <v>28490</v>
      </c>
      <c r="S103" s="77" t="n">
        <v>25</v>
      </c>
      <c r="T103" s="77" t="n">
        <v>14</v>
      </c>
      <c r="U103" s="77" t="n">
        <v>400</v>
      </c>
      <c r="V103" s="77" t="inlineStr">
        <is>
          <t>Industrial UAV</t>
        </is>
      </c>
      <c r="W103" s="77" t="inlineStr">
        <is>
          <t>Scraped from grepow.com. http://www.grepow.com/uav-battery/tattu-3-0-14s-22000mah-51-8v-25c-lipo-smart-drone-battery.html</t>
        </is>
      </c>
    </row>
    <row r="104">
      <c r="A104" s="77" t="inlineStr">
        <is>
          <t>GREPOW_TATTU_3_0_14S_25000MAH_51_8V_25C_LIPO_SMART</t>
        </is>
      </c>
      <c r="B104" s="77" t="inlineStr">
        <is>
          <t>Tattu 3.0 14S 25000mAh 51.8V 25C Lipo Smart Drone Battery</t>
        </is>
      </c>
      <c r="C104" s="77" t="inlineStr">
        <is>
          <t>CELL_LIPO_GENERIC</t>
        </is>
      </c>
      <c r="D104" s="77" t="inlineStr">
        <is>
          <t>LIPO</t>
        </is>
      </c>
      <c r="E104" s="77" t="n">
        <v>14</v>
      </c>
      <c r="F104" s="77" t="n">
        <v>1</v>
      </c>
      <c r="G104" s="77" t="n">
        <v>14</v>
      </c>
      <c r="H104" s="77" t="n">
        <v>51.8</v>
      </c>
      <c r="I104" s="77" t="n">
        <v>58.8</v>
      </c>
      <c r="J104" s="77" t="n">
        <v>46.2</v>
      </c>
      <c r="K104" s="77" t="n">
        <v>25</v>
      </c>
      <c r="L104" s="77" t="n">
        <v>1295</v>
      </c>
      <c r="M104" s="77" t="n">
        <v>9600</v>
      </c>
      <c r="N104" s="77" t="n">
        <v>134.9</v>
      </c>
      <c r="Q104" s="77" t="n">
        <v>625</v>
      </c>
      <c r="R104" s="77" t="n">
        <v>32375</v>
      </c>
      <c r="S104" s="77" t="n">
        <v>25</v>
      </c>
      <c r="T104" s="77" t="n">
        <v>14</v>
      </c>
      <c r="U104" s="77" t="n">
        <v>400</v>
      </c>
      <c r="V104" s="77" t="inlineStr">
        <is>
          <t>Industrial UAV</t>
        </is>
      </c>
      <c r="W104" s="77" t="inlineStr">
        <is>
          <t>Scraped from grepow.com. http://www.grepow.com/uav-battery/tattu-3-0-14s-25000mah-51-8v-25c-lipo-smart-drone-battery.html</t>
        </is>
      </c>
    </row>
    <row r="105">
      <c r="A105" s="77" t="inlineStr">
        <is>
          <t>GREPOW_TATTU_PLUS_1_0_12S_22000MAH_44_4V_25C_LIPO_</t>
        </is>
      </c>
      <c r="B105" s="77" t="inlineStr">
        <is>
          <t>Tattu Plus 1.0 12S 22Ah 44.4V 25C Lipo Smart Drone Battery</t>
        </is>
      </c>
      <c r="C105" s="77" t="inlineStr">
        <is>
          <t>CELL_LIPO_GENERIC</t>
        </is>
      </c>
      <c r="D105" s="77" t="inlineStr">
        <is>
          <t>LIPO</t>
        </is>
      </c>
      <c r="E105" s="77" t="n">
        <v>12</v>
      </c>
      <c r="F105" s="77" t="n">
        <v>1</v>
      </c>
      <c r="G105" s="77" t="n">
        <v>12</v>
      </c>
      <c r="H105" s="77" t="n">
        <v>44.4</v>
      </c>
      <c r="I105" s="77" t="n">
        <v>50.4</v>
      </c>
      <c r="J105" s="77" t="n">
        <v>39.6</v>
      </c>
      <c r="K105" s="77" t="n">
        <v>22</v>
      </c>
      <c r="L105" s="77" t="n">
        <v>976.8</v>
      </c>
      <c r="M105" s="77" t="n">
        <v>6058</v>
      </c>
      <c r="N105" s="77" t="n">
        <v>161.2</v>
      </c>
      <c r="Q105" s="77" t="n">
        <v>550</v>
      </c>
      <c r="R105" s="77" t="n">
        <v>24420</v>
      </c>
      <c r="S105" s="77" t="n">
        <v>25</v>
      </c>
      <c r="T105" s="77" t="n">
        <v>12</v>
      </c>
      <c r="U105" s="77" t="n">
        <v>400</v>
      </c>
      <c r="V105" s="77" t="inlineStr">
        <is>
          <t>Industrial UAV</t>
        </is>
      </c>
      <c r="W105" s="77" t="inlineStr">
        <is>
          <t>Scraped from grepow.com. http://www.grepow.com/uav-battery/tattu-plus-1-0-12s-22000mah-44-4v-25c-lipo-drone-battery.html</t>
        </is>
      </c>
    </row>
    <row r="106">
      <c r="A106" s="77" t="inlineStr">
        <is>
          <t>GREPOW_TATTU_G_TECH_6S_11000MAH_22_8V_25C_LIPO_DRO</t>
        </is>
      </c>
      <c r="B106" s="77" t="inlineStr">
        <is>
          <t>Tattu G-Tech 6S 11000mAh 22.8V Lipo Drone Battery For UAV</t>
        </is>
      </c>
      <c r="C106" s="77" t="inlineStr">
        <is>
          <t>CELL_LIPO_GENERIC</t>
        </is>
      </c>
      <c r="D106" s="77" t="inlineStr">
        <is>
          <t>LIPO</t>
        </is>
      </c>
      <c r="E106" s="77" t="n">
        <v>6</v>
      </c>
      <c r="F106" s="77" t="n">
        <v>7</v>
      </c>
      <c r="G106" s="77" t="n">
        <v>42</v>
      </c>
      <c r="H106" s="77" t="n">
        <v>22.2</v>
      </c>
      <c r="I106" s="77" t="n">
        <v>25.2</v>
      </c>
      <c r="J106" s="77" t="n">
        <v>19.8</v>
      </c>
      <c r="K106" s="77" t="n">
        <v>11</v>
      </c>
      <c r="L106" s="77" t="n">
        <v>244.2</v>
      </c>
      <c r="M106" s="77" t="n">
        <v>1296</v>
      </c>
      <c r="N106" s="77" t="n">
        <v>188.4</v>
      </c>
      <c r="Q106" s="77" t="n">
        <v>275</v>
      </c>
      <c r="R106" s="77" t="n">
        <v>6105</v>
      </c>
      <c r="S106" s="77" t="n">
        <v>25</v>
      </c>
      <c r="T106" s="77" t="n">
        <v>42</v>
      </c>
      <c r="U106" s="77" t="n">
        <v>400</v>
      </c>
      <c r="V106" s="77" t="inlineStr">
        <is>
          <t>Industrial UAV</t>
        </is>
      </c>
      <c r="W106" s="77" t="inlineStr">
        <is>
          <t>Scraped from grepow.com. http://www.grepow.com/uav-battery/tattu-g-tech-6s-11000mah-22-8v-25c-lipo-drone-battery-for-uav.html</t>
        </is>
      </c>
    </row>
    <row r="107">
      <c r="A107" s="77" t="inlineStr">
        <is>
          <t>GREPOW_6S_16000MAH_22_2V_30C_LIPO_DRONE_BATTERY</t>
        </is>
      </c>
      <c r="B107" s="77" t="inlineStr">
        <is>
          <t>Tattu 16000mAh 6S 30C 22.2V Lipo Drone Battery Pack</t>
        </is>
      </c>
      <c r="C107" s="77" t="inlineStr">
        <is>
          <t>CELL_LIPO_GENERIC</t>
        </is>
      </c>
      <c r="D107" s="77" t="inlineStr">
        <is>
          <t>LIPO</t>
        </is>
      </c>
      <c r="E107" s="77" t="n">
        <v>6</v>
      </c>
      <c r="F107" s="77" t="n">
        <v>1</v>
      </c>
      <c r="G107" s="77" t="n">
        <v>6</v>
      </c>
      <c r="H107" s="77" t="n">
        <v>22.2</v>
      </c>
      <c r="I107" s="77" t="n">
        <v>25.2</v>
      </c>
      <c r="J107" s="77" t="n">
        <v>19.8</v>
      </c>
      <c r="K107" s="77" t="n">
        <v>16</v>
      </c>
      <c r="L107" s="77" t="n">
        <v>355.2</v>
      </c>
      <c r="M107" s="77" t="n">
        <v>1974</v>
      </c>
      <c r="N107" s="77" t="n">
        <v>179.9</v>
      </c>
      <c r="Q107" s="77" t="n">
        <v>480</v>
      </c>
      <c r="R107" s="77" t="n">
        <v>10656</v>
      </c>
      <c r="S107" s="77" t="n">
        <v>30</v>
      </c>
      <c r="T107" s="77" t="n">
        <v>6</v>
      </c>
      <c r="U107" s="77" t="n">
        <v>400</v>
      </c>
      <c r="V107" s="77" t="inlineStr">
        <is>
          <t>Industrial UAV</t>
        </is>
      </c>
      <c r="W107" s="77" t="inlineStr">
        <is>
          <t>Scraped from grepow.com. http://www.grepow.com/uav-battery/6s-16000mah-22-2v-30c-lipo-drone-battery.html</t>
        </is>
      </c>
    </row>
    <row r="108">
      <c r="A108" s="77" t="inlineStr">
        <is>
          <t>GREPOW_TATTU_G_TECH_6S_12000MAH_22_2V_30C_LIPO_DRO</t>
        </is>
      </c>
      <c r="B108" s="77" t="inlineStr">
        <is>
          <t>Tattu G-Tech 30C 12000mAh 6S Lipo Drone Battery</t>
        </is>
      </c>
      <c r="C108" s="77" t="inlineStr">
        <is>
          <t>CELL_LIPO_GENERIC</t>
        </is>
      </c>
      <c r="D108" s="77" t="inlineStr">
        <is>
          <t>LIPO</t>
        </is>
      </c>
      <c r="E108" s="77" t="n">
        <v>6</v>
      </c>
      <c r="F108" s="77" t="n">
        <v>1</v>
      </c>
      <c r="G108" s="77" t="n">
        <v>6</v>
      </c>
      <c r="H108" s="77" t="n">
        <v>22.2</v>
      </c>
      <c r="I108" s="77" t="n">
        <v>25.2</v>
      </c>
      <c r="J108" s="77" t="n">
        <v>19.8</v>
      </c>
      <c r="K108" s="77" t="n">
        <v>12</v>
      </c>
      <c r="L108" s="77" t="n">
        <v>266.4</v>
      </c>
      <c r="M108" s="77" t="n">
        <v>1532</v>
      </c>
      <c r="N108" s="77" t="n">
        <v>173.9</v>
      </c>
      <c r="Q108" s="77" t="n">
        <v>360</v>
      </c>
      <c r="R108" s="77" t="n">
        <v>7992</v>
      </c>
      <c r="S108" s="77" t="n">
        <v>30</v>
      </c>
      <c r="T108" s="77" t="n">
        <v>6</v>
      </c>
      <c r="U108" s="77" t="n">
        <v>400</v>
      </c>
      <c r="V108" s="77" t="inlineStr">
        <is>
          <t>Industrial UAV</t>
        </is>
      </c>
      <c r="W108" s="77" t="inlineStr">
        <is>
          <t>Scraped from grepow.com. http://www.grepow.com/uav-battery/tattu-g-tech-6s-12000mah-22-2v-30c-lipo-drone-battery.html</t>
        </is>
      </c>
    </row>
    <row r="109">
      <c r="A109" s="77" t="inlineStr">
        <is>
          <t>GREPOW_TATTU_G_TECH_6S_23000MAH_22_8V_25C_LIPO_DRO</t>
        </is>
      </c>
      <c r="B109" s="77" t="inlineStr">
        <is>
          <t>Tattu 6S 23000mAh 22.8V 25C HV Lipo Drone Battery For UAV</t>
        </is>
      </c>
      <c r="C109" s="77" t="inlineStr">
        <is>
          <t>CELL_LIPO_GENERIC</t>
        </is>
      </c>
      <c r="D109" s="77" t="inlineStr">
        <is>
          <t>LIPO</t>
        </is>
      </c>
      <c r="E109" s="77" t="n">
        <v>6</v>
      </c>
      <c r="F109" s="77" t="n">
        <v>1</v>
      </c>
      <c r="G109" s="77" t="n">
        <v>6</v>
      </c>
      <c r="H109" s="77" t="n">
        <v>22.2</v>
      </c>
      <c r="I109" s="77" t="n">
        <v>25.2</v>
      </c>
      <c r="J109" s="77" t="n">
        <v>19.8</v>
      </c>
      <c r="K109" s="77" t="n">
        <v>23</v>
      </c>
      <c r="L109" s="77" t="n">
        <v>510.6</v>
      </c>
      <c r="M109" s="77" t="n">
        <v>2474</v>
      </c>
      <c r="N109" s="77" t="n">
        <v>206.4</v>
      </c>
      <c r="Q109" s="77" t="n">
        <v>575</v>
      </c>
      <c r="R109" s="77" t="n">
        <v>12765</v>
      </c>
      <c r="S109" s="77" t="n">
        <v>25</v>
      </c>
      <c r="T109" s="77" t="n">
        <v>6</v>
      </c>
      <c r="U109" s="77" t="n">
        <v>400</v>
      </c>
      <c r="V109" s="77" t="inlineStr">
        <is>
          <t>Industrial UAV</t>
        </is>
      </c>
      <c r="W109" s="77" t="inlineStr">
        <is>
          <t>Scraped from grepow.com. http://www.grepow.com/uav-battery/tattu-g-tech-6s-23000mah-22-8v-25c-lipo-drone-battery.html</t>
        </is>
      </c>
    </row>
    <row r="110">
      <c r="A110" s="77" t="inlineStr">
        <is>
          <t>GREPOW_TATTU_3S_10000MAH_11_1V_15C_LIPO_DRONE_BATT</t>
        </is>
      </c>
      <c r="B110" s="77" t="inlineStr">
        <is>
          <t>Tattu 3S 10000mAh 11.1V 15C Lipo Drone Battery For UAV</t>
        </is>
      </c>
      <c r="C110" s="77" t="inlineStr">
        <is>
          <t>CELL_LIPO_GENERIC</t>
        </is>
      </c>
      <c r="D110" s="77" t="inlineStr">
        <is>
          <t>LIPO</t>
        </is>
      </c>
      <c r="E110" s="77" t="n">
        <v>3</v>
      </c>
      <c r="F110" s="77" t="n">
        <v>1</v>
      </c>
      <c r="G110" s="77" t="n">
        <v>3</v>
      </c>
      <c r="H110" s="77" t="n">
        <v>11.1</v>
      </c>
      <c r="I110" s="77" t="n">
        <v>12.6</v>
      </c>
      <c r="J110" s="77" t="n">
        <v>9.9</v>
      </c>
      <c r="K110" s="77" t="n">
        <v>10</v>
      </c>
      <c r="L110" s="77" t="n">
        <v>111</v>
      </c>
      <c r="M110" s="77" t="n">
        <v>595</v>
      </c>
      <c r="N110" s="77" t="n">
        <v>186.6</v>
      </c>
      <c r="Q110" s="77" t="n">
        <v>150</v>
      </c>
      <c r="R110" s="77" t="n">
        <v>1665</v>
      </c>
      <c r="S110" s="77" t="n">
        <v>15</v>
      </c>
      <c r="T110" s="77" t="n">
        <v>3</v>
      </c>
      <c r="U110" s="77" t="n">
        <v>400</v>
      </c>
      <c r="V110" s="77" t="inlineStr">
        <is>
          <t>Industrial UAV</t>
        </is>
      </c>
      <c r="W110" s="77" t="inlineStr">
        <is>
          <t>Scraped from grepow.com. http://www.grepow.com/uav-battery/tattu-3s-10000mah-11-1v-15c-lipo-drone-battery.html</t>
        </is>
      </c>
    </row>
    <row r="111">
      <c r="A111" s="77" t="inlineStr">
        <is>
          <t>GREPOW_TATTU_3S_8000MAH_11_1V_15C_LIPO_DRONE_BATTE</t>
        </is>
      </c>
      <c r="B111" s="77" t="inlineStr">
        <is>
          <t>Tattu 3S 8000mAh 11.1V 15C Lipo Drone Battery For UAV</t>
        </is>
      </c>
      <c r="C111" s="77" t="inlineStr">
        <is>
          <t>CELL_LIPO_GENERIC</t>
        </is>
      </c>
      <c r="D111" s="77" t="inlineStr">
        <is>
          <t>LIPO</t>
        </is>
      </c>
      <c r="E111" s="77" t="n">
        <v>3</v>
      </c>
      <c r="F111" s="77" t="n">
        <v>1</v>
      </c>
      <c r="G111" s="77" t="n">
        <v>3</v>
      </c>
      <c r="H111" s="77" t="n">
        <v>11.1</v>
      </c>
      <c r="I111" s="77" t="n">
        <v>12.6</v>
      </c>
      <c r="J111" s="77" t="n">
        <v>9.9</v>
      </c>
      <c r="K111" s="77" t="n">
        <v>8</v>
      </c>
      <c r="L111" s="77" t="n">
        <v>88.8</v>
      </c>
      <c r="M111" s="77" t="n">
        <v>529</v>
      </c>
      <c r="N111" s="77" t="n">
        <v>167.9</v>
      </c>
      <c r="Q111" s="77" t="n">
        <v>120</v>
      </c>
      <c r="R111" s="77" t="n">
        <v>1332</v>
      </c>
      <c r="S111" s="77" t="n">
        <v>15</v>
      </c>
      <c r="T111" s="77" t="n">
        <v>3</v>
      </c>
      <c r="U111" s="77" t="n">
        <v>400</v>
      </c>
      <c r="V111" s="77" t="inlineStr">
        <is>
          <t>Industrial UAV</t>
        </is>
      </c>
      <c r="W111" s="77" t="inlineStr">
        <is>
          <t>Scraped from grepow.com. http://www.grepow.com/uav-battery/tattu-3s-8000mah-11-1v-15c-lipo-drone-battery.html</t>
        </is>
      </c>
    </row>
    <row r="112">
      <c r="A112" s="77" t="inlineStr">
        <is>
          <t>GREPOW_TATTU_G_TECH_4S_5200MAH_14_8V_35C_LIPO_DRON</t>
        </is>
      </c>
      <c r="B112" s="77" t="inlineStr">
        <is>
          <t>Tattu G-Tech 4S 5200mAh 14.8V 35C Lipo Drone Battery For UAV</t>
        </is>
      </c>
      <c r="C112" s="77" t="inlineStr">
        <is>
          <t>CELL_LIPO_GENERIC</t>
        </is>
      </c>
      <c r="D112" s="77" t="inlineStr">
        <is>
          <t>LIPO</t>
        </is>
      </c>
      <c r="E112" s="77" t="n">
        <v>4</v>
      </c>
      <c r="F112" s="77" t="n">
        <v>1</v>
      </c>
      <c r="G112" s="77" t="n">
        <v>4</v>
      </c>
      <c r="H112" s="77" t="n">
        <v>14.8</v>
      </c>
      <c r="I112" s="77" t="n">
        <v>16.8</v>
      </c>
      <c r="J112" s="77" t="n">
        <v>13.2</v>
      </c>
      <c r="K112" s="77" t="n">
        <v>5.2</v>
      </c>
      <c r="L112" s="77" t="n">
        <v>77</v>
      </c>
      <c r="M112" s="77" t="n">
        <v>436.5</v>
      </c>
      <c r="N112" s="77" t="n">
        <v>176.4</v>
      </c>
      <c r="Q112" s="77" t="n">
        <v>182</v>
      </c>
      <c r="R112" s="77" t="n">
        <v>2694</v>
      </c>
      <c r="S112" s="77" t="n">
        <v>35</v>
      </c>
      <c r="T112" s="77" t="n">
        <v>4</v>
      </c>
      <c r="U112" s="77" t="n">
        <v>400</v>
      </c>
      <c r="V112" s="77" t="inlineStr">
        <is>
          <t>Industrial UAV</t>
        </is>
      </c>
      <c r="W112" s="77" t="inlineStr">
        <is>
          <t>Scraped from grepow.com. http://www.grepow.com/uav-battery/tattu-g-tech-4s-5200mah-14-8v-35c-lipo-drone-battery.html</t>
        </is>
      </c>
    </row>
    <row r="113">
      <c r="A113" s="77" t="inlineStr">
        <is>
          <t>GREPOW_TATTU_4S_6750MAH_14_8V_25C_LIPO_DRONE_BATTE</t>
        </is>
      </c>
      <c r="B113" s="77" t="inlineStr">
        <is>
          <t>Tattu 4S 6750mAh 14.8V 25C Lipo Drone Battery For UAV</t>
        </is>
      </c>
      <c r="C113" s="77" t="inlineStr">
        <is>
          <t>CELL_LIPO_GENERIC</t>
        </is>
      </c>
      <c r="D113" s="77" t="inlineStr">
        <is>
          <t>LIPO</t>
        </is>
      </c>
      <c r="E113" s="77" t="n">
        <v>4</v>
      </c>
      <c r="F113" s="77" t="n">
        <v>1</v>
      </c>
      <c r="G113" s="77" t="n">
        <v>4</v>
      </c>
      <c r="H113" s="77" t="n">
        <v>14.8</v>
      </c>
      <c r="I113" s="77" t="n">
        <v>16.8</v>
      </c>
      <c r="J113" s="77" t="n">
        <v>13.2</v>
      </c>
      <c r="K113" s="77" t="n">
        <v>6.75</v>
      </c>
      <c r="L113" s="77" t="n">
        <v>99.90000000000001</v>
      </c>
      <c r="M113" s="77" t="n">
        <v>620</v>
      </c>
      <c r="N113" s="77" t="n">
        <v>161.1</v>
      </c>
      <c r="Q113" s="77" t="n">
        <v>168.8</v>
      </c>
      <c r="R113" s="77" t="n">
        <v>2498</v>
      </c>
      <c r="S113" s="77" t="n">
        <v>25</v>
      </c>
      <c r="T113" s="77" t="n">
        <v>4</v>
      </c>
      <c r="U113" s="77" t="n">
        <v>400</v>
      </c>
      <c r="V113" s="77" t="inlineStr">
        <is>
          <t>Industrial UAV</t>
        </is>
      </c>
      <c r="W113" s="77" t="inlineStr">
        <is>
          <t>Scraped from grepow.com. http://www.grepow.com/uav-battery/tattu-4s-6750mah-14-8v-25c-lipo-drone-battery.html</t>
        </is>
      </c>
    </row>
    <row r="114">
      <c r="A114" s="77" t="inlineStr">
        <is>
          <t>GREPOW_TATTU_4S_10000MAH_14_8V_30C_LIPO_DRONE_BATT</t>
        </is>
      </c>
      <c r="B114" s="77" t="inlineStr">
        <is>
          <t>Tattu 4S 10000mAh 14.8V 30C Lipo Drone Battery For UAV</t>
        </is>
      </c>
      <c r="C114" s="77" t="inlineStr">
        <is>
          <t>CELL_LIPO_GENERIC</t>
        </is>
      </c>
      <c r="D114" s="77" t="inlineStr">
        <is>
          <t>LIPO</t>
        </is>
      </c>
      <c r="E114" s="77" t="n">
        <v>4</v>
      </c>
      <c r="F114" s="77" t="n">
        <v>1</v>
      </c>
      <c r="G114" s="77" t="n">
        <v>4</v>
      </c>
      <c r="H114" s="77" t="n">
        <v>14.8</v>
      </c>
      <c r="I114" s="77" t="n">
        <v>16.8</v>
      </c>
      <c r="J114" s="77" t="n">
        <v>13.2</v>
      </c>
      <c r="K114" s="77" t="n">
        <v>10</v>
      </c>
      <c r="L114" s="77" t="n">
        <v>148</v>
      </c>
      <c r="M114" s="77" t="n">
        <v>935</v>
      </c>
      <c r="N114" s="77" t="n">
        <v>158.3</v>
      </c>
      <c r="Q114" s="77" t="n">
        <v>300</v>
      </c>
      <c r="R114" s="77" t="n">
        <v>4440</v>
      </c>
      <c r="S114" s="77" t="n">
        <v>30</v>
      </c>
      <c r="T114" s="77" t="n">
        <v>4</v>
      </c>
      <c r="U114" s="77" t="n">
        <v>400</v>
      </c>
      <c r="V114" s="77" t="inlineStr">
        <is>
          <t>Industrial UAV</t>
        </is>
      </c>
      <c r="W114" s="77" t="inlineStr">
        <is>
          <t>Scraped from grepow.com. http://www.grepow.com/uav-battery/tattu-4s-10000mah-14-8v-30c-lipo-drone-battery.html</t>
        </is>
      </c>
    </row>
    <row r="115">
      <c r="A115" s="77" t="inlineStr">
        <is>
          <t>GREPOW_TATTU_4S_10000MAH_14_8V_25C_LIPO_DRONE_BATT</t>
        </is>
      </c>
      <c r="B115" s="77" t="inlineStr">
        <is>
          <t>Tattu 4S 10000mAh 14.8V 25C Lipo Drone Battery</t>
        </is>
      </c>
      <c r="C115" s="77" t="inlineStr">
        <is>
          <t>CELL_LIPO_GENERIC</t>
        </is>
      </c>
      <c r="D115" s="77" t="inlineStr">
        <is>
          <t>LIPO</t>
        </is>
      </c>
      <c r="E115" s="77" t="n">
        <v>4</v>
      </c>
      <c r="F115" s="77" t="n">
        <v>1</v>
      </c>
      <c r="G115" s="77" t="n">
        <v>4</v>
      </c>
      <c r="H115" s="77" t="n">
        <v>14.8</v>
      </c>
      <c r="I115" s="77" t="n">
        <v>16.8</v>
      </c>
      <c r="J115" s="77" t="n">
        <v>13.2</v>
      </c>
      <c r="K115" s="77" t="n">
        <v>10</v>
      </c>
      <c r="L115" s="77" t="n">
        <v>148</v>
      </c>
      <c r="M115" s="77" t="n">
        <v>940</v>
      </c>
      <c r="N115" s="77" t="n">
        <v>157.4</v>
      </c>
      <c r="Q115" s="77" t="n">
        <v>250</v>
      </c>
      <c r="R115" s="77" t="n">
        <v>3700</v>
      </c>
      <c r="S115" s="77" t="n">
        <v>25</v>
      </c>
      <c r="T115" s="77" t="n">
        <v>4</v>
      </c>
      <c r="U115" s="77" t="n">
        <v>400</v>
      </c>
      <c r="V115" s="77" t="inlineStr">
        <is>
          <t>Industrial UAV</t>
        </is>
      </c>
      <c r="W115" s="77" t="inlineStr">
        <is>
          <t>Scraped from grepow.com. http://www.grepow.com/uav-battery/tattu-4s-10000mah-14-8v-25c-lipo-drone-battery.html</t>
        </is>
      </c>
    </row>
    <row r="116">
      <c r="A116" s="77" t="inlineStr">
        <is>
          <t>GREPOW_TATTU_4S_12000MAH_14_8V_30C_LIPO_DRONE_BATT</t>
        </is>
      </c>
      <c r="B116" s="77" t="inlineStr">
        <is>
          <t>Tattu 4S 12000mAh 14.8V 30C Lipo Drone Battery For UAV</t>
        </is>
      </c>
      <c r="C116" s="77" t="inlineStr">
        <is>
          <t>CELL_LIPO_GENERIC</t>
        </is>
      </c>
      <c r="D116" s="77" t="inlineStr">
        <is>
          <t>LIPO</t>
        </is>
      </c>
      <c r="E116" s="77" t="n">
        <v>4</v>
      </c>
      <c r="F116" s="77" t="n">
        <v>1</v>
      </c>
      <c r="G116" s="77" t="n">
        <v>4</v>
      </c>
      <c r="H116" s="77" t="n">
        <v>14.8</v>
      </c>
      <c r="I116" s="77" t="n">
        <v>16.8</v>
      </c>
      <c r="J116" s="77" t="n">
        <v>13.2</v>
      </c>
      <c r="K116" s="77" t="n">
        <v>12</v>
      </c>
      <c r="L116" s="77" t="n">
        <v>177.6</v>
      </c>
      <c r="M116" s="77" t="n">
        <v>1057</v>
      </c>
      <c r="N116" s="77" t="n">
        <v>168</v>
      </c>
      <c r="Q116" s="77" t="n">
        <v>360</v>
      </c>
      <c r="R116" s="77" t="n">
        <v>5328</v>
      </c>
      <c r="S116" s="77" t="n">
        <v>30</v>
      </c>
      <c r="T116" s="77" t="n">
        <v>4</v>
      </c>
      <c r="U116" s="77" t="n">
        <v>400</v>
      </c>
      <c r="V116" s="77" t="inlineStr">
        <is>
          <t>Industrial UAV</t>
        </is>
      </c>
      <c r="W116" s="77" t="inlineStr">
        <is>
          <t>Scraped from grepow.com. http://www.grepow.com/uav-battery/tattu-4s-12000mah-14-8v-30c-lipo-drone-battery.html</t>
        </is>
      </c>
    </row>
    <row r="117">
      <c r="A117" s="77" t="inlineStr">
        <is>
          <t>GREPOW_TATTU_4S_22000MAH_14_8V_30C_LIPO_DRONE_BATT</t>
        </is>
      </c>
      <c r="B117" s="77" t="inlineStr">
        <is>
          <t>Tattu G-Tech 4S 22000mAh 14.8V 30C Lipo Drone Battery For UAV</t>
        </is>
      </c>
      <c r="C117" s="77" t="inlineStr">
        <is>
          <t>CELL_LIPO_GENERIC</t>
        </is>
      </c>
      <c r="D117" s="77" t="inlineStr">
        <is>
          <t>LIPO</t>
        </is>
      </c>
      <c r="E117" s="77" t="n">
        <v>4</v>
      </c>
      <c r="F117" s="77" t="n">
        <v>1</v>
      </c>
      <c r="G117" s="77" t="n">
        <v>4</v>
      </c>
      <c r="H117" s="77" t="n">
        <v>14.8</v>
      </c>
      <c r="I117" s="77" t="n">
        <v>16.8</v>
      </c>
      <c r="J117" s="77" t="n">
        <v>13.2</v>
      </c>
      <c r="K117" s="77" t="n">
        <v>22</v>
      </c>
      <c r="L117" s="77" t="n">
        <v>325.6</v>
      </c>
      <c r="M117" s="77" t="n">
        <v>1677</v>
      </c>
      <c r="N117" s="77" t="n">
        <v>194.2</v>
      </c>
      <c r="Q117" s="77" t="n">
        <v>660</v>
      </c>
      <c r="R117" s="77" t="n">
        <v>9768</v>
      </c>
      <c r="S117" s="77" t="n">
        <v>30</v>
      </c>
      <c r="T117" s="77" t="n">
        <v>4</v>
      </c>
      <c r="U117" s="77" t="n">
        <v>400</v>
      </c>
      <c r="V117" s="77" t="inlineStr">
        <is>
          <t>Industrial UAV</t>
        </is>
      </c>
      <c r="W117" s="77" t="inlineStr">
        <is>
          <t>Scraped from grepow.com. http://www.grepow.com/uav-battery/tattu-4s-22000mah-14-8v-30c-lipo-drone-battery.html</t>
        </is>
      </c>
    </row>
    <row r="118">
      <c r="A118" s="77" t="inlineStr">
        <is>
          <t>GREPOW_TATTU_G_TECH_6S_30000MAH_22_2V_25C_LIPO_DRO</t>
        </is>
      </c>
      <c r="B118" s="77" t="inlineStr">
        <is>
          <t>Tattu G-Tech 25C 6S 30Ah 22.2V Lipo Drone Battery</t>
        </is>
      </c>
      <c r="C118" s="77" t="inlineStr">
        <is>
          <t>CELL_LIPO_GENERIC</t>
        </is>
      </c>
      <c r="D118" s="77" t="inlineStr">
        <is>
          <t>LIPO</t>
        </is>
      </c>
      <c r="E118" s="77" t="n">
        <v>6</v>
      </c>
      <c r="F118" s="77" t="n">
        <v>1</v>
      </c>
      <c r="G118" s="77" t="n">
        <v>6</v>
      </c>
      <c r="H118" s="77" t="n">
        <v>22.2</v>
      </c>
      <c r="I118" s="77" t="n">
        <v>25.2</v>
      </c>
      <c r="J118" s="77" t="n">
        <v>19.8</v>
      </c>
      <c r="K118" s="77" t="n">
        <v>30</v>
      </c>
      <c r="L118" s="77" t="n">
        <v>666</v>
      </c>
      <c r="M118" s="77" t="n">
        <v>3494</v>
      </c>
      <c r="N118" s="77" t="n">
        <v>190.6</v>
      </c>
      <c r="Q118" s="77" t="n">
        <v>750</v>
      </c>
      <c r="R118" s="77" t="n">
        <v>16650</v>
      </c>
      <c r="S118" s="77" t="n">
        <v>25</v>
      </c>
      <c r="T118" s="77" t="n">
        <v>6</v>
      </c>
      <c r="U118" s="77" t="n">
        <v>400</v>
      </c>
      <c r="V118" s="77" t="inlineStr">
        <is>
          <t>Industrial UAV</t>
        </is>
      </c>
      <c r="W118" s="77" t="inlineStr">
        <is>
          <t>Scraped from grepow.com. http://www.grepow.com/uav-battery/tattu-g-tech-6s-30000mah-22-2v-25c-lipo-drone-battery.html</t>
        </is>
      </c>
    </row>
    <row r="119">
      <c r="A119" s="77" t="inlineStr">
        <is>
          <t>GREPOW_TATTU_6S_28000MAH_22_2V_25C_LIPO_DRONE_BATT</t>
        </is>
      </c>
      <c r="B119" s="77" t="inlineStr">
        <is>
          <t>Tattu 6S 28000mAh 22.2V 25C Lipo Drone Battery</t>
        </is>
      </c>
      <c r="C119" s="77" t="inlineStr">
        <is>
          <t>CELL_LIPO_GENERIC</t>
        </is>
      </c>
      <c r="D119" s="77" t="inlineStr">
        <is>
          <t>LIPO</t>
        </is>
      </c>
      <c r="E119" s="77" t="n">
        <v>6</v>
      </c>
      <c r="F119" s="77" t="n">
        <v>7</v>
      </c>
      <c r="G119" s="77" t="n">
        <v>42</v>
      </c>
      <c r="H119" s="77" t="n">
        <v>22.2</v>
      </c>
      <c r="I119" s="77" t="n">
        <v>25.2</v>
      </c>
      <c r="J119" s="77" t="n">
        <v>19.8</v>
      </c>
      <c r="K119" s="77" t="n">
        <v>28</v>
      </c>
      <c r="L119" s="77" t="n">
        <v>621.6</v>
      </c>
      <c r="M119" s="77" t="n">
        <v>3413</v>
      </c>
      <c r="N119" s="77" t="n">
        <v>182.1</v>
      </c>
      <c r="Q119" s="77" t="n">
        <v>700</v>
      </c>
      <c r="R119" s="77" t="n">
        <v>15540</v>
      </c>
      <c r="S119" s="77" t="n">
        <v>25</v>
      </c>
      <c r="T119" s="77" t="n">
        <v>42</v>
      </c>
      <c r="U119" s="77" t="n">
        <v>400</v>
      </c>
      <c r="V119" s="77" t="inlineStr">
        <is>
          <t>Industrial UAV</t>
        </is>
      </c>
      <c r="W119" s="77" t="inlineStr">
        <is>
          <t>Scraped from grepow.com. http://www.grepow.com/uav-battery/tattu-6s-28000mah-22-2v-25c-lipo-drone-battery.html</t>
        </is>
      </c>
    </row>
    <row r="120">
      <c r="A120" s="77" t="inlineStr">
        <is>
          <t>GREPOW_TATTU_6S_4500MAH_22_2V_25C_LIPO_DRONE_BATTE</t>
        </is>
      </c>
      <c r="B120" s="77" t="inlineStr">
        <is>
          <t>Tattu 6S 4500mAh 22.2V 25C Lipo Drone Battery</t>
        </is>
      </c>
      <c r="C120" s="77" t="inlineStr">
        <is>
          <t>CELL_LIPO_GENERIC</t>
        </is>
      </c>
      <c r="D120" s="77" t="inlineStr">
        <is>
          <t>LIPO</t>
        </is>
      </c>
      <c r="E120" s="77" t="n">
        <v>6</v>
      </c>
      <c r="F120" s="77" t="n">
        <v>7</v>
      </c>
      <c r="G120" s="77" t="n">
        <v>42</v>
      </c>
      <c r="H120" s="77" t="n">
        <v>22.2</v>
      </c>
      <c r="I120" s="77" t="n">
        <v>25.2</v>
      </c>
      <c r="J120" s="77" t="n">
        <v>19.8</v>
      </c>
      <c r="K120" s="77" t="n">
        <v>4.5</v>
      </c>
      <c r="L120" s="77" t="n">
        <v>99.90000000000001</v>
      </c>
      <c r="M120" s="77" t="n">
        <v>650</v>
      </c>
      <c r="N120" s="77" t="n">
        <v>153.7</v>
      </c>
      <c r="Q120" s="77" t="n">
        <v>112.5</v>
      </c>
      <c r="R120" s="77" t="n">
        <v>2498</v>
      </c>
      <c r="S120" s="77" t="n">
        <v>25</v>
      </c>
      <c r="T120" s="77" t="n">
        <v>42</v>
      </c>
      <c r="U120" s="77" t="n">
        <v>400</v>
      </c>
      <c r="V120" s="77" t="inlineStr">
        <is>
          <t>Industrial UAV</t>
        </is>
      </c>
      <c r="W120" s="77" t="inlineStr">
        <is>
          <t>Scraped from grepow.com. http://www.grepow.com/uav-battery/tattu-6s-4500mah-22-2v-25c-lipo-drone-battery.html</t>
        </is>
      </c>
    </row>
    <row r="121">
      <c r="A121" s="77" t="inlineStr">
        <is>
          <t>GREPOW_TATTU_6S_6000MAH_22_2V_35C_LIPO_DRONE_BATTE</t>
        </is>
      </c>
      <c r="B121" s="77" t="inlineStr">
        <is>
          <t>Tattu 6S 6000mAh 22.2V 35C Lipo Drone Battery</t>
        </is>
      </c>
      <c r="C121" s="77" t="inlineStr">
        <is>
          <t>CELL_LIPO_GENERIC</t>
        </is>
      </c>
      <c r="D121" s="77" t="inlineStr">
        <is>
          <t>LIPO</t>
        </is>
      </c>
      <c r="E121" s="77" t="n">
        <v>6</v>
      </c>
      <c r="F121" s="77" t="n">
        <v>7</v>
      </c>
      <c r="G121" s="77" t="n">
        <v>42</v>
      </c>
      <c r="H121" s="77" t="n">
        <v>22.2</v>
      </c>
      <c r="I121" s="77" t="n">
        <v>25.2</v>
      </c>
      <c r="J121" s="77" t="n">
        <v>19.8</v>
      </c>
      <c r="K121" s="77" t="n">
        <v>6</v>
      </c>
      <c r="L121" s="77" t="n">
        <v>133.2</v>
      </c>
      <c r="M121" s="77" t="n">
        <v>885</v>
      </c>
      <c r="N121" s="77" t="n">
        <v>150.5</v>
      </c>
      <c r="Q121" s="77" t="n">
        <v>210</v>
      </c>
      <c r="R121" s="77" t="n">
        <v>4662</v>
      </c>
      <c r="S121" s="77" t="n">
        <v>35</v>
      </c>
      <c r="T121" s="77" t="n">
        <v>42</v>
      </c>
      <c r="U121" s="77" t="n">
        <v>400</v>
      </c>
      <c r="V121" s="77" t="inlineStr">
        <is>
          <t>Industrial UAV</t>
        </is>
      </c>
      <c r="W121" s="77" t="inlineStr">
        <is>
          <t>Scraped from grepow.com. http://www.grepow.com/uav-battery/tattu-6s-6000mah-22-2v-35c-lipo-drone-battery.html</t>
        </is>
      </c>
    </row>
    <row r="122">
      <c r="A122" s="77" t="inlineStr">
        <is>
          <t>GREPOW_TATTU_G_TECH_6S_7000MAH_22_2V_25C_LIPO_DRON</t>
        </is>
      </c>
      <c r="B122" s="77" t="inlineStr">
        <is>
          <t>Tattu G-Tech 6S 7000mAh 22.2V 25C Lipo Drone Battery</t>
        </is>
      </c>
      <c r="C122" s="77" t="inlineStr">
        <is>
          <t>CELL_LIPO_GENERIC</t>
        </is>
      </c>
      <c r="D122" s="77" t="inlineStr">
        <is>
          <t>LIPO</t>
        </is>
      </c>
      <c r="E122" s="77" t="n">
        <v>6</v>
      </c>
      <c r="F122" s="77" t="n">
        <v>7</v>
      </c>
      <c r="G122" s="77" t="n">
        <v>42</v>
      </c>
      <c r="H122" s="77" t="n">
        <v>22.2</v>
      </c>
      <c r="I122" s="77" t="n">
        <v>25.2</v>
      </c>
      <c r="J122" s="77" t="n">
        <v>19.8</v>
      </c>
      <c r="K122" s="77" t="n">
        <v>7</v>
      </c>
      <c r="L122" s="77" t="n">
        <v>155.4</v>
      </c>
      <c r="M122" s="77" t="n">
        <v>870</v>
      </c>
      <c r="N122" s="77" t="n">
        <v>178.6</v>
      </c>
      <c r="Q122" s="77" t="n">
        <v>175</v>
      </c>
      <c r="R122" s="77" t="n">
        <v>3885</v>
      </c>
      <c r="S122" s="77" t="n">
        <v>25</v>
      </c>
      <c r="T122" s="77" t="n">
        <v>42</v>
      </c>
      <c r="U122" s="77" t="n">
        <v>400</v>
      </c>
      <c r="V122" s="77" t="inlineStr">
        <is>
          <t>Industrial UAV</t>
        </is>
      </c>
      <c r="W122" s="77" t="inlineStr">
        <is>
          <t>Scraped from grepow.com. http://www.grepow.com/uav-battery/tattu-g-tech-6s-7000mah-22-2v-25c-lipo-drone-battery.html</t>
        </is>
      </c>
    </row>
    <row r="123">
      <c r="A123" s="77" t="inlineStr">
        <is>
          <t>GREPOW_TATTU_G_TECH_4S_3700MAH_14_8V_45C_LIPO_DRON</t>
        </is>
      </c>
      <c r="B123" s="77" t="inlineStr">
        <is>
          <t>Tattu G-Tech 4S 3700mAh 14.8V 45C Lipo Drone Battery For UAV</t>
        </is>
      </c>
      <c r="C123" s="77" t="inlineStr">
        <is>
          <t>CELL_LIPO_GENERIC</t>
        </is>
      </c>
      <c r="D123" s="77" t="inlineStr">
        <is>
          <t>LIPO</t>
        </is>
      </c>
      <c r="E123" s="77" t="n">
        <v>4</v>
      </c>
      <c r="F123" s="77" t="n">
        <v>1</v>
      </c>
      <c r="G123" s="77" t="n">
        <v>4</v>
      </c>
      <c r="H123" s="77" t="n">
        <v>14.8</v>
      </c>
      <c r="I123" s="77" t="n">
        <v>16.8</v>
      </c>
      <c r="J123" s="77" t="n">
        <v>13.2</v>
      </c>
      <c r="K123" s="77" t="n">
        <v>3.7</v>
      </c>
      <c r="L123" s="77" t="n">
        <v>54.8</v>
      </c>
      <c r="M123" s="77" t="n">
        <v>361</v>
      </c>
      <c r="N123" s="77" t="n">
        <v>151.8</v>
      </c>
      <c r="Q123" s="77" t="n">
        <v>166.5</v>
      </c>
      <c r="R123" s="77" t="n">
        <v>2464</v>
      </c>
      <c r="S123" s="77" t="n">
        <v>45</v>
      </c>
      <c r="T123" s="77" t="n">
        <v>4</v>
      </c>
      <c r="U123" s="77" t="n">
        <v>400</v>
      </c>
      <c r="V123" s="77" t="inlineStr">
        <is>
          <t>Industrial UAV</t>
        </is>
      </c>
      <c r="W123" s="77" t="inlineStr">
        <is>
          <t>Scraped from grepow.com. http://www.grepow.com/uav-battery/tattu-g-tech-4s-3700mah-14-8v-45c-lipo-drone-battery.html</t>
        </is>
      </c>
    </row>
    <row r="124">
      <c r="A124" s="77" t="inlineStr">
        <is>
          <t>GREPOW_TATTU_PRO_14S_22000MAH_53_2V_25C_LIPO_SMART</t>
        </is>
      </c>
      <c r="B124" s="77" t="inlineStr">
        <is>
          <t>Tattu Pro 14S 22000mAh 53.2V 25C Lipo Drone Battery</t>
        </is>
      </c>
      <c r="C124" s="77" t="inlineStr">
        <is>
          <t>CELL_LIPO_GENERIC</t>
        </is>
      </c>
      <c r="D124" s="77" t="inlineStr">
        <is>
          <t>LIPO</t>
        </is>
      </c>
      <c r="E124" s="77" t="n">
        <v>14</v>
      </c>
      <c r="F124" s="77" t="n">
        <v>1</v>
      </c>
      <c r="G124" s="77" t="n">
        <v>14</v>
      </c>
      <c r="H124" s="77" t="n">
        <v>51.8</v>
      </c>
      <c r="I124" s="77" t="n">
        <v>58.8</v>
      </c>
      <c r="J124" s="77" t="n">
        <v>46.2</v>
      </c>
      <c r="K124" s="77" t="n">
        <v>22</v>
      </c>
      <c r="L124" s="77" t="n">
        <v>1139.6</v>
      </c>
      <c r="M124" s="77" t="n">
        <v>6550</v>
      </c>
      <c r="N124" s="77" t="n">
        <v>174</v>
      </c>
      <c r="Q124" s="77" t="n">
        <v>550</v>
      </c>
      <c r="R124" s="77" t="n">
        <v>28490</v>
      </c>
      <c r="S124" s="77" t="n">
        <v>25</v>
      </c>
      <c r="T124" s="77" t="n">
        <v>14</v>
      </c>
      <c r="U124" s="77" t="n">
        <v>400</v>
      </c>
      <c r="V124" s="77" t="inlineStr">
        <is>
          <t>Industrial UAV</t>
        </is>
      </c>
      <c r="W124" s="77" t="inlineStr">
        <is>
          <t>Scraped from grepow.com. http://www.grepow.com/uav-battery/tattu-pro-14s-22000mah-53-2v-25c-lipo-smart-drone-battery.html</t>
        </is>
      </c>
    </row>
    <row r="125">
      <c r="A125" s="77" t="inlineStr">
        <is>
          <t>GREPOW_TATTU_3_0_14S_22000MAH_53_2V_25C_LIPO_SMART</t>
        </is>
      </c>
      <c r="B125" s="77" t="inlineStr">
        <is>
          <t>Tattu 3.0 14S 22000mAh 53.2V 25C Lipo Smart Drone Battery</t>
        </is>
      </c>
      <c r="C125" s="77" t="inlineStr">
        <is>
          <t>CELL_LIPO_GENERIC</t>
        </is>
      </c>
      <c r="D125" s="77" t="inlineStr">
        <is>
          <t>LIPO</t>
        </is>
      </c>
      <c r="E125" s="77" t="n">
        <v>14</v>
      </c>
      <c r="F125" s="77" t="n">
        <v>1</v>
      </c>
      <c r="G125" s="77" t="n">
        <v>14</v>
      </c>
      <c r="H125" s="77" t="n">
        <v>51.8</v>
      </c>
      <c r="I125" s="77" t="n">
        <v>58.8</v>
      </c>
      <c r="J125" s="77" t="n">
        <v>46.2</v>
      </c>
      <c r="K125" s="77" t="n">
        <v>22</v>
      </c>
      <c r="L125" s="77" t="n">
        <v>1139.6</v>
      </c>
      <c r="M125" s="77" t="n">
        <v>7950</v>
      </c>
      <c r="N125" s="77" t="n">
        <v>143.3</v>
      </c>
      <c r="Q125" s="77" t="n">
        <v>550</v>
      </c>
      <c r="R125" s="77" t="n">
        <v>28490</v>
      </c>
      <c r="S125" s="77" t="n">
        <v>25</v>
      </c>
      <c r="T125" s="77" t="n">
        <v>14</v>
      </c>
      <c r="U125" s="77" t="n">
        <v>400</v>
      </c>
      <c r="V125" s="77" t="inlineStr">
        <is>
          <t>Industrial UAV</t>
        </is>
      </c>
      <c r="W125" s="77" t="inlineStr">
        <is>
          <t>Scraped from grepow.com. http://www.grepow.com/uav-battery/tattu-3-0-14s-22000mah-53-2v-25c-lipo-smart-drone-battery-pack.html</t>
        </is>
      </c>
    </row>
    <row r="126">
      <c r="A126" s="77" t="inlineStr">
        <is>
          <t>GREPOW_TATTU_3_0_14S_10500MAH_53_2V_25C_LIPO_SMART</t>
        </is>
      </c>
      <c r="B126" s="77" t="inlineStr">
        <is>
          <t>Tattu Plus 3.0 14S 10500mAh 53.2V 25C Lipo Smart Drone Battery</t>
        </is>
      </c>
      <c r="C126" s="77" t="inlineStr">
        <is>
          <t>CELL_LIPO_GENERIC</t>
        </is>
      </c>
      <c r="D126" s="77" t="inlineStr">
        <is>
          <t>LIPO</t>
        </is>
      </c>
      <c r="E126" s="77" t="n">
        <v>14</v>
      </c>
      <c r="F126" s="77" t="n">
        <v>1</v>
      </c>
      <c r="G126" s="77" t="n">
        <v>14</v>
      </c>
      <c r="H126" s="77" t="n">
        <v>51.8</v>
      </c>
      <c r="I126" s="77" t="n">
        <v>58.8</v>
      </c>
      <c r="J126" s="77" t="n">
        <v>46.2</v>
      </c>
      <c r="K126" s="77" t="n">
        <v>10.5</v>
      </c>
      <c r="L126" s="77" t="n">
        <v>543.9</v>
      </c>
      <c r="M126" s="77" t="n">
        <v>4100</v>
      </c>
      <c r="N126" s="77" t="n">
        <v>132.7</v>
      </c>
      <c r="Q126" s="77" t="n">
        <v>262.5</v>
      </c>
      <c r="R126" s="77" t="n">
        <v>13598</v>
      </c>
      <c r="S126" s="77" t="n">
        <v>25</v>
      </c>
      <c r="T126" s="77" t="n">
        <v>14</v>
      </c>
      <c r="U126" s="77" t="n">
        <v>400</v>
      </c>
      <c r="V126" s="77" t="inlineStr">
        <is>
          <t>Industrial UAV</t>
        </is>
      </c>
      <c r="W126" s="77" t="inlineStr">
        <is>
          <t>Scraped from grepow.com. http://www.grepow.com/uav-battery/tattu-3-0-14s-10500mah-53-2v-25c-lipo-smart-drone-battery.html</t>
        </is>
      </c>
    </row>
    <row r="127">
      <c r="A127" s="77" t="inlineStr">
        <is>
          <t>GREPOW_TATTU_PRO_12S_16000MAH_45_6V_25C_LIPO_DRONE</t>
        </is>
      </c>
      <c r="B127" s="77" t="inlineStr">
        <is>
          <t>Tattu Pro 12S 16000mAh 25C Lipo Drone Battery</t>
        </is>
      </c>
      <c r="C127" s="77" t="inlineStr">
        <is>
          <t>CELL_LIPO_GENERIC</t>
        </is>
      </c>
      <c r="D127" s="77" t="inlineStr">
        <is>
          <t>LIPO</t>
        </is>
      </c>
      <c r="E127" s="77" t="n">
        <v>12</v>
      </c>
      <c r="F127" s="77" t="n">
        <v>1</v>
      </c>
      <c r="G127" s="77" t="n">
        <v>12</v>
      </c>
      <c r="H127" s="77" t="n">
        <v>44.4</v>
      </c>
      <c r="I127" s="77" t="n">
        <v>50.4</v>
      </c>
      <c r="J127" s="77" t="n">
        <v>39.6</v>
      </c>
      <c r="K127" s="77" t="n">
        <v>16</v>
      </c>
      <c r="L127" s="77" t="n">
        <v>710.4</v>
      </c>
      <c r="M127" s="77" t="n">
        <v>4650</v>
      </c>
      <c r="N127" s="77" t="n">
        <v>152.8</v>
      </c>
      <c r="Q127" s="77" t="n">
        <v>400</v>
      </c>
      <c r="R127" s="77" t="n">
        <v>17760</v>
      </c>
      <c r="S127" s="77" t="n">
        <v>25</v>
      </c>
      <c r="T127" s="77" t="n">
        <v>12</v>
      </c>
      <c r="U127" s="77" t="n">
        <v>400</v>
      </c>
      <c r="V127" s="77" t="inlineStr">
        <is>
          <t>Industrial UAV</t>
        </is>
      </c>
      <c r="W127" s="77" t="inlineStr">
        <is>
          <t>Scraped from grepow.com. http://www.grepow.com/semi-solid-state-battery/tattu-pro-12s-16000mah-45-6v-25c-lipo-drone-smart-nmc-battery.html</t>
        </is>
      </c>
    </row>
  </sheetData>
  <mergeCells count="1">
    <mergeCell ref="A1:W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77" min="1" max="1"/>
    <col width="8" customWidth="1" style="77" min="2" max="2"/>
    <col width="16" customWidth="1" style="77" min="3" max="3"/>
    <col width="8" customWidth="1" style="77" min="4" max="4"/>
    <col width="10" customWidth="1" style="77" min="5" max="5"/>
    <col width="18" customWidth="1" style="77" min="6" max="6"/>
    <col width="28" customWidth="1" style="77" min="7" max="7"/>
  </cols>
  <sheetData>
    <row r="1" ht="36" customHeight="1" s="78">
      <c r="A1" s="99" t="inlineStr">
        <is>
          <t>📉  Discharge Profile Data (Voltage vs SoC at various C-rates)</t>
        </is>
      </c>
      <c r="B1" s="80" t="n"/>
      <c r="C1" s="80" t="n"/>
      <c r="D1" s="80" t="n"/>
      <c r="E1" s="80" t="n"/>
      <c r="F1" s="80" t="n"/>
      <c r="G1" s="80" t="n"/>
    </row>
    <row r="2" ht="27.75" customHeight="1" s="78">
      <c r="A2" s="83" t="inlineStr">
        <is>
          <t>Chem_ID</t>
        </is>
      </c>
      <c r="B2" s="83" t="inlineStr">
        <is>
          <t>C_Rate</t>
        </is>
      </c>
      <c r="C2" s="83" t="inlineStr">
        <is>
          <t>Temperature_degC</t>
        </is>
      </c>
      <c r="D2" s="83" t="inlineStr">
        <is>
          <t>SoC_%</t>
        </is>
      </c>
      <c r="E2" s="83" t="inlineStr">
        <is>
          <t>Voltage_V</t>
        </is>
      </c>
      <c r="F2" s="83" t="inlineStr">
        <is>
          <t>Normalised_Capacity_%</t>
        </is>
      </c>
      <c r="G2" s="83" t="inlineStr">
        <is>
          <t>Notes</t>
        </is>
      </c>
    </row>
    <row r="3" ht="15" customHeight="1" s="78">
      <c r="A3" s="96" t="inlineStr">
        <is>
          <t>LIPO</t>
        </is>
      </c>
      <c r="B3" s="88" t="n">
        <v>0.5</v>
      </c>
      <c r="C3" s="88" t="n">
        <v>25</v>
      </c>
      <c r="D3" s="88" t="n">
        <v>100</v>
      </c>
      <c r="E3" s="124" t="n">
        <v>4.199</v>
      </c>
      <c r="F3" s="124" t="n">
        <v>99.5</v>
      </c>
      <c r="G3" s="88" t="inlineStr">
        <is>
          <t>25°C standard</t>
        </is>
      </c>
    </row>
    <row r="4" ht="15" customHeight="1" s="78">
      <c r="A4" s="96" t="inlineStr">
        <is>
          <t>LIPO</t>
        </is>
      </c>
      <c r="B4" s="95" t="n">
        <v>0.5</v>
      </c>
      <c r="C4" s="95" t="n">
        <v>25</v>
      </c>
      <c r="D4" s="95" t="n">
        <v>90</v>
      </c>
      <c r="E4" s="125" t="n">
        <v>4.078</v>
      </c>
      <c r="F4" s="125" t="n">
        <v>89.5</v>
      </c>
      <c r="G4" s="95" t="inlineStr">
        <is>
          <t>25°C standard</t>
        </is>
      </c>
    </row>
    <row r="5" ht="15" customHeight="1" s="78">
      <c r="A5" s="96" t="inlineStr">
        <is>
          <t>LIPO</t>
        </is>
      </c>
      <c r="B5" s="88" t="n">
        <v>0.5</v>
      </c>
      <c r="C5" s="88" t="n">
        <v>25</v>
      </c>
      <c r="D5" s="88" t="n">
        <v>80</v>
      </c>
      <c r="E5" s="124" t="n">
        <v>3.957</v>
      </c>
      <c r="F5" s="124" t="n">
        <v>79.59999999999999</v>
      </c>
      <c r="G5" s="88" t="inlineStr">
        <is>
          <t>25°C standard</t>
        </is>
      </c>
    </row>
    <row r="6" ht="15" customHeight="1" s="78">
      <c r="A6" s="96" t="inlineStr">
        <is>
          <t>LIPO</t>
        </is>
      </c>
      <c r="B6" s="95" t="n">
        <v>0.5</v>
      </c>
      <c r="C6" s="95" t="n">
        <v>25</v>
      </c>
      <c r="D6" s="95" t="n">
        <v>70</v>
      </c>
      <c r="E6" s="125" t="n">
        <v>3.836</v>
      </c>
      <c r="F6" s="125" t="n">
        <v>69.7</v>
      </c>
      <c r="G6" s="95" t="inlineStr">
        <is>
          <t>25°C standard</t>
        </is>
      </c>
    </row>
    <row r="7" ht="15" customHeight="1" s="78">
      <c r="A7" s="96" t="inlineStr">
        <is>
          <t>LIPO</t>
        </is>
      </c>
      <c r="B7" s="88" t="n">
        <v>0.5</v>
      </c>
      <c r="C7" s="88" t="n">
        <v>25</v>
      </c>
      <c r="D7" s="88" t="n">
        <v>60</v>
      </c>
      <c r="E7" s="124" t="n">
        <v>3.715</v>
      </c>
      <c r="F7" s="124" t="n">
        <v>59.7</v>
      </c>
      <c r="G7" s="88" t="inlineStr">
        <is>
          <t>25°C standard</t>
        </is>
      </c>
    </row>
    <row r="8" ht="15" customHeight="1" s="78">
      <c r="A8" s="96" t="inlineStr">
        <is>
          <t>LIPO</t>
        </is>
      </c>
      <c r="B8" s="95" t="n">
        <v>0.5</v>
      </c>
      <c r="C8" s="95" t="n">
        <v>25</v>
      </c>
      <c r="D8" s="95" t="n">
        <v>50</v>
      </c>
      <c r="E8" s="125" t="n">
        <v>3.594</v>
      </c>
      <c r="F8" s="125" t="n">
        <v>49.8</v>
      </c>
      <c r="G8" s="95" t="inlineStr">
        <is>
          <t>25°C standard</t>
        </is>
      </c>
    </row>
    <row r="9" ht="15" customHeight="1" s="78">
      <c r="A9" s="96" t="inlineStr">
        <is>
          <t>LIPO</t>
        </is>
      </c>
      <c r="B9" s="88" t="n">
        <v>0.5</v>
      </c>
      <c r="C9" s="88" t="n">
        <v>25</v>
      </c>
      <c r="D9" s="88" t="n">
        <v>40</v>
      </c>
      <c r="E9" s="124" t="n">
        <v>3.473</v>
      </c>
      <c r="F9" s="124" t="n">
        <v>39.8</v>
      </c>
      <c r="G9" s="88" t="inlineStr">
        <is>
          <t>25°C standard</t>
        </is>
      </c>
    </row>
    <row r="10" ht="15" customHeight="1" s="78">
      <c r="A10" s="96" t="inlineStr">
        <is>
          <t>LIPO</t>
        </is>
      </c>
      <c r="B10" s="95" t="n">
        <v>0.5</v>
      </c>
      <c r="C10" s="95" t="n">
        <v>25</v>
      </c>
      <c r="D10" s="95" t="n">
        <v>30</v>
      </c>
      <c r="E10" s="125" t="n">
        <v>3.352</v>
      </c>
      <c r="F10" s="125" t="n">
        <v>29.9</v>
      </c>
      <c r="G10" s="95" t="inlineStr">
        <is>
          <t>25°C standard</t>
        </is>
      </c>
    </row>
    <row r="11" ht="15" customHeight="1" s="78">
      <c r="A11" s="96" t="inlineStr">
        <is>
          <t>LIPO</t>
        </is>
      </c>
      <c r="B11" s="88" t="n">
        <v>0.5</v>
      </c>
      <c r="C11" s="88" t="n">
        <v>25</v>
      </c>
      <c r="D11" s="88" t="n">
        <v>20</v>
      </c>
      <c r="E11" s="124" t="n">
        <v>3.231</v>
      </c>
      <c r="F11" s="124" t="n">
        <v>19.9</v>
      </c>
      <c r="G11" s="88" t="inlineStr">
        <is>
          <t>25°C standard</t>
        </is>
      </c>
    </row>
    <row r="12" ht="15" customHeight="1" s="78">
      <c r="A12" s="96" t="inlineStr">
        <is>
          <t>LIPO</t>
        </is>
      </c>
      <c r="B12" s="95" t="n">
        <v>0.5</v>
      </c>
      <c r="C12" s="95" t="n">
        <v>25</v>
      </c>
      <c r="D12" s="95" t="n">
        <v>10</v>
      </c>
      <c r="E12" s="125" t="n">
        <v>3.11</v>
      </c>
      <c r="F12" s="125" t="n">
        <v>9.9</v>
      </c>
      <c r="G12" s="95" t="inlineStr">
        <is>
          <t>25°C standard</t>
        </is>
      </c>
    </row>
    <row r="13" ht="15" customHeight="1" s="78">
      <c r="A13" s="96" t="inlineStr">
        <is>
          <t>LIPO</t>
        </is>
      </c>
      <c r="B13" s="88" t="n">
        <v>0.5</v>
      </c>
      <c r="C13" s="88" t="n">
        <v>25</v>
      </c>
      <c r="D13" s="88" t="n">
        <v>5</v>
      </c>
      <c r="E13" s="124" t="n">
        <v>3.05</v>
      </c>
      <c r="F13" s="124" t="n">
        <v>5</v>
      </c>
      <c r="G13" s="88" t="inlineStr">
        <is>
          <t>25°C standard</t>
        </is>
      </c>
    </row>
    <row r="14" ht="15" customHeight="1" s="78">
      <c r="A14" s="96" t="inlineStr">
        <is>
          <t>LIPO</t>
        </is>
      </c>
      <c r="B14" s="95" t="n">
        <v>0.5</v>
      </c>
      <c r="C14" s="95" t="n">
        <v>25</v>
      </c>
      <c r="D14" s="95" t="n">
        <v>0</v>
      </c>
      <c r="E14" s="125" t="n">
        <v>3</v>
      </c>
      <c r="F14" s="125" t="n">
        <v>0</v>
      </c>
      <c r="G14" s="95" t="inlineStr">
        <is>
          <t>25°C standard</t>
        </is>
      </c>
    </row>
    <row r="15" ht="15" customHeight="1" s="78">
      <c r="A15" s="96" t="inlineStr">
        <is>
          <t>LIPO</t>
        </is>
      </c>
      <c r="B15" s="88" t="n">
        <v>1</v>
      </c>
      <c r="C15" s="88" t="n">
        <v>25</v>
      </c>
      <c r="D15" s="88" t="n">
        <v>100</v>
      </c>
      <c r="E15" s="124" t="n">
        <v>4.198</v>
      </c>
      <c r="F15" s="124" t="n">
        <v>99</v>
      </c>
      <c r="G15" s="88" t="inlineStr">
        <is>
          <t>25°C standard</t>
        </is>
      </c>
    </row>
    <row r="16" ht="15" customHeight="1" s="78">
      <c r="A16" s="96" t="inlineStr">
        <is>
          <t>LIPO</t>
        </is>
      </c>
      <c r="B16" s="95" t="n">
        <v>1</v>
      </c>
      <c r="C16" s="95" t="n">
        <v>25</v>
      </c>
      <c r="D16" s="95" t="n">
        <v>90</v>
      </c>
      <c r="E16" s="125" t="n">
        <v>4.076</v>
      </c>
      <c r="F16" s="125" t="n">
        <v>89.09999999999999</v>
      </c>
      <c r="G16" s="95" t="inlineStr">
        <is>
          <t>25°C standard</t>
        </is>
      </c>
    </row>
    <row r="17" ht="15" customHeight="1" s="78">
      <c r="A17" s="96" t="inlineStr">
        <is>
          <t>LIPO</t>
        </is>
      </c>
      <c r="B17" s="88" t="n">
        <v>1</v>
      </c>
      <c r="C17" s="88" t="n">
        <v>25</v>
      </c>
      <c r="D17" s="88" t="n">
        <v>80</v>
      </c>
      <c r="E17" s="124" t="n">
        <v>3.954</v>
      </c>
      <c r="F17" s="124" t="n">
        <v>79.2</v>
      </c>
      <c r="G17" s="88" t="inlineStr">
        <is>
          <t>25°C standard</t>
        </is>
      </c>
    </row>
    <row r="18" ht="15" customHeight="1" s="78">
      <c r="A18" s="96" t="inlineStr">
        <is>
          <t>LIPO</t>
        </is>
      </c>
      <c r="B18" s="95" t="n">
        <v>1</v>
      </c>
      <c r="C18" s="95" t="n">
        <v>25</v>
      </c>
      <c r="D18" s="95" t="n">
        <v>70</v>
      </c>
      <c r="E18" s="125" t="n">
        <v>3.832</v>
      </c>
      <c r="F18" s="125" t="n">
        <v>69.3</v>
      </c>
      <c r="G18" s="95" t="inlineStr">
        <is>
          <t>25°C standard</t>
        </is>
      </c>
    </row>
    <row r="19" ht="15" customHeight="1" s="78">
      <c r="A19" s="96" t="inlineStr">
        <is>
          <t>LIPO</t>
        </is>
      </c>
      <c r="B19" s="88" t="n">
        <v>1</v>
      </c>
      <c r="C19" s="88" t="n">
        <v>25</v>
      </c>
      <c r="D19" s="88" t="n">
        <v>60</v>
      </c>
      <c r="E19" s="124" t="n">
        <v>3.71</v>
      </c>
      <c r="F19" s="124" t="n">
        <v>59.4</v>
      </c>
      <c r="G19" s="88" t="inlineStr">
        <is>
          <t>25°C standard</t>
        </is>
      </c>
    </row>
    <row r="20" ht="15" customHeight="1" s="78">
      <c r="A20" s="96" t="inlineStr">
        <is>
          <t>LIPO</t>
        </is>
      </c>
      <c r="B20" s="95" t="n">
        <v>1</v>
      </c>
      <c r="C20" s="95" t="n">
        <v>25</v>
      </c>
      <c r="D20" s="95" t="n">
        <v>50</v>
      </c>
      <c r="E20" s="125" t="n">
        <v>3.588</v>
      </c>
      <c r="F20" s="125" t="n">
        <v>49.5</v>
      </c>
      <c r="G20" s="95" t="inlineStr">
        <is>
          <t>25°C standard</t>
        </is>
      </c>
    </row>
    <row r="21" ht="15" customHeight="1" s="78">
      <c r="A21" s="96" t="inlineStr">
        <is>
          <t>LIPO</t>
        </is>
      </c>
      <c r="B21" s="88" t="n">
        <v>1</v>
      </c>
      <c r="C21" s="88" t="n">
        <v>25</v>
      </c>
      <c r="D21" s="88" t="n">
        <v>40</v>
      </c>
      <c r="E21" s="124" t="n">
        <v>3.466</v>
      </c>
      <c r="F21" s="124" t="n">
        <v>39.6</v>
      </c>
      <c r="G21" s="88" t="inlineStr">
        <is>
          <t>25°C standard</t>
        </is>
      </c>
    </row>
    <row r="22" ht="15" customHeight="1" s="78">
      <c r="A22" s="96" t="inlineStr">
        <is>
          <t>LIPO</t>
        </is>
      </c>
      <c r="B22" s="95" t="n">
        <v>1</v>
      </c>
      <c r="C22" s="95" t="n">
        <v>25</v>
      </c>
      <c r="D22" s="95" t="n">
        <v>30</v>
      </c>
      <c r="E22" s="125" t="n">
        <v>3.344</v>
      </c>
      <c r="F22" s="125" t="n">
        <v>29.7</v>
      </c>
      <c r="G22" s="95" t="inlineStr">
        <is>
          <t>25°C standard</t>
        </is>
      </c>
    </row>
    <row r="23" ht="15" customHeight="1" s="78">
      <c r="A23" s="96" t="inlineStr">
        <is>
          <t>LIPO</t>
        </is>
      </c>
      <c r="B23" s="88" t="n">
        <v>1</v>
      </c>
      <c r="C23" s="88" t="n">
        <v>25</v>
      </c>
      <c r="D23" s="88" t="n">
        <v>20</v>
      </c>
      <c r="E23" s="124" t="n">
        <v>3.222</v>
      </c>
      <c r="F23" s="124" t="n">
        <v>19.8</v>
      </c>
      <c r="G23" s="88" t="inlineStr">
        <is>
          <t>25°C standard</t>
        </is>
      </c>
    </row>
    <row r="24" ht="15" customHeight="1" s="78">
      <c r="A24" s="96" t="inlineStr">
        <is>
          <t>LIPO</t>
        </is>
      </c>
      <c r="B24" s="95" t="n">
        <v>1</v>
      </c>
      <c r="C24" s="95" t="n">
        <v>25</v>
      </c>
      <c r="D24" s="95" t="n">
        <v>10</v>
      </c>
      <c r="E24" s="125" t="n">
        <v>3.1</v>
      </c>
      <c r="F24" s="125" t="n">
        <v>9.9</v>
      </c>
      <c r="G24" s="95" t="inlineStr">
        <is>
          <t>25°C standard</t>
        </is>
      </c>
    </row>
    <row r="25" ht="15" customHeight="1" s="78">
      <c r="A25" s="96" t="inlineStr">
        <is>
          <t>LIPO</t>
        </is>
      </c>
      <c r="B25" s="88" t="n">
        <v>1</v>
      </c>
      <c r="C25" s="88" t="n">
        <v>25</v>
      </c>
      <c r="D25" s="88" t="n">
        <v>5</v>
      </c>
      <c r="E25" s="124" t="n">
        <v>3.039</v>
      </c>
      <c r="F25" s="124" t="n">
        <v>5</v>
      </c>
      <c r="G25" s="88" t="inlineStr">
        <is>
          <t>25°C standard</t>
        </is>
      </c>
    </row>
    <row r="26" ht="15" customHeight="1" s="78">
      <c r="A26" s="96" t="inlineStr">
        <is>
          <t>LIPO</t>
        </is>
      </c>
      <c r="B26" s="95" t="n">
        <v>1</v>
      </c>
      <c r="C26" s="95" t="n">
        <v>25</v>
      </c>
      <c r="D26" s="95" t="n">
        <v>0</v>
      </c>
      <c r="E26" s="125" t="n">
        <v>3</v>
      </c>
      <c r="F26" s="125" t="n">
        <v>0</v>
      </c>
      <c r="G26" s="95" t="inlineStr">
        <is>
          <t>25°C standard</t>
        </is>
      </c>
    </row>
    <row r="27" ht="15" customHeight="1" s="78">
      <c r="A27" s="96" t="inlineStr">
        <is>
          <t>LIPO</t>
        </is>
      </c>
      <c r="B27" s="88" t="n">
        <v>2</v>
      </c>
      <c r="C27" s="88" t="n">
        <v>25</v>
      </c>
      <c r="D27" s="88" t="n">
        <v>100</v>
      </c>
      <c r="E27" s="124" t="n">
        <v>4.196</v>
      </c>
      <c r="F27" s="124" t="n">
        <v>98</v>
      </c>
      <c r="G27" s="88" t="inlineStr">
        <is>
          <t>25°C standard</t>
        </is>
      </c>
    </row>
    <row r="28" ht="15" customHeight="1" s="78">
      <c r="A28" s="96" t="inlineStr">
        <is>
          <t>LIPO</t>
        </is>
      </c>
      <c r="B28" s="95" t="n">
        <v>2</v>
      </c>
      <c r="C28" s="95" t="n">
        <v>25</v>
      </c>
      <c r="D28" s="95" t="n">
        <v>90</v>
      </c>
      <c r="E28" s="125" t="n">
        <v>4.072</v>
      </c>
      <c r="F28" s="125" t="n">
        <v>88.2</v>
      </c>
      <c r="G28" s="95" t="inlineStr">
        <is>
          <t>25°C standard</t>
        </is>
      </c>
    </row>
    <row r="29" ht="15" customHeight="1" s="78">
      <c r="A29" s="96" t="inlineStr">
        <is>
          <t>LIPO</t>
        </is>
      </c>
      <c r="B29" s="88" t="n">
        <v>2</v>
      </c>
      <c r="C29" s="88" t="n">
        <v>25</v>
      </c>
      <c r="D29" s="88" t="n">
        <v>80</v>
      </c>
      <c r="E29" s="124" t="n">
        <v>3.948</v>
      </c>
      <c r="F29" s="124" t="n">
        <v>78.40000000000001</v>
      </c>
      <c r="G29" s="88" t="inlineStr">
        <is>
          <t>25°C standard</t>
        </is>
      </c>
    </row>
    <row r="30" ht="15" customHeight="1" s="78">
      <c r="A30" s="96" t="inlineStr">
        <is>
          <t>LIPO</t>
        </is>
      </c>
      <c r="B30" s="95" t="n">
        <v>2</v>
      </c>
      <c r="C30" s="95" t="n">
        <v>25</v>
      </c>
      <c r="D30" s="95" t="n">
        <v>70</v>
      </c>
      <c r="E30" s="125" t="n">
        <v>3.824</v>
      </c>
      <c r="F30" s="125" t="n">
        <v>68.59999999999999</v>
      </c>
      <c r="G30" s="95" t="inlineStr">
        <is>
          <t>25°C standard</t>
        </is>
      </c>
    </row>
    <row r="31" ht="15" customHeight="1" s="78">
      <c r="A31" s="96" t="inlineStr">
        <is>
          <t>LIPO</t>
        </is>
      </c>
      <c r="B31" s="88" t="n">
        <v>2</v>
      </c>
      <c r="C31" s="88" t="n">
        <v>25</v>
      </c>
      <c r="D31" s="88" t="n">
        <v>60</v>
      </c>
      <c r="E31" s="124" t="n">
        <v>3.7</v>
      </c>
      <c r="F31" s="124" t="n">
        <v>58.8</v>
      </c>
      <c r="G31" s="88" t="inlineStr">
        <is>
          <t>25°C standard</t>
        </is>
      </c>
    </row>
    <row r="32" ht="15" customHeight="1" s="78">
      <c r="A32" s="96" t="inlineStr">
        <is>
          <t>LIPO</t>
        </is>
      </c>
      <c r="B32" s="95" t="n">
        <v>2</v>
      </c>
      <c r="C32" s="95" t="n">
        <v>25</v>
      </c>
      <c r="D32" s="95" t="n">
        <v>50</v>
      </c>
      <c r="E32" s="125" t="n">
        <v>3.576</v>
      </c>
      <c r="F32" s="125" t="n">
        <v>49</v>
      </c>
      <c r="G32" s="95" t="inlineStr">
        <is>
          <t>25°C standard</t>
        </is>
      </c>
    </row>
    <row r="33" ht="15" customHeight="1" s="78">
      <c r="A33" s="96" t="inlineStr">
        <is>
          <t>LIPO</t>
        </is>
      </c>
      <c r="B33" s="88" t="n">
        <v>2</v>
      </c>
      <c r="C33" s="88" t="n">
        <v>25</v>
      </c>
      <c r="D33" s="88" t="n">
        <v>40</v>
      </c>
      <c r="E33" s="124" t="n">
        <v>3.452</v>
      </c>
      <c r="F33" s="124" t="n">
        <v>39.2</v>
      </c>
      <c r="G33" s="88" t="inlineStr">
        <is>
          <t>25°C standard</t>
        </is>
      </c>
    </row>
    <row r="34" ht="15" customHeight="1" s="78">
      <c r="A34" s="96" t="inlineStr">
        <is>
          <t>LIPO</t>
        </is>
      </c>
      <c r="B34" s="95" t="n">
        <v>2</v>
      </c>
      <c r="C34" s="95" t="n">
        <v>25</v>
      </c>
      <c r="D34" s="95" t="n">
        <v>30</v>
      </c>
      <c r="E34" s="125" t="n">
        <v>3.328</v>
      </c>
      <c r="F34" s="125" t="n">
        <v>29.4</v>
      </c>
      <c r="G34" s="95" t="inlineStr">
        <is>
          <t>25°C standard</t>
        </is>
      </c>
    </row>
    <row r="35" ht="15" customHeight="1" s="78">
      <c r="A35" s="96" t="inlineStr">
        <is>
          <t>LIPO</t>
        </is>
      </c>
      <c r="B35" s="88" t="n">
        <v>2</v>
      </c>
      <c r="C35" s="88" t="n">
        <v>25</v>
      </c>
      <c r="D35" s="88" t="n">
        <v>20</v>
      </c>
      <c r="E35" s="124" t="n">
        <v>3.204</v>
      </c>
      <c r="F35" s="124" t="n">
        <v>19.6</v>
      </c>
      <c r="G35" s="88" t="inlineStr">
        <is>
          <t>25°C standard</t>
        </is>
      </c>
    </row>
    <row r="36" ht="15" customHeight="1" s="78">
      <c r="A36" s="96" t="inlineStr">
        <is>
          <t>LIPO</t>
        </is>
      </c>
      <c r="B36" s="95" t="n">
        <v>2</v>
      </c>
      <c r="C36" s="95" t="n">
        <v>25</v>
      </c>
      <c r="D36" s="95" t="n">
        <v>10</v>
      </c>
      <c r="E36" s="125" t="n">
        <v>3.08</v>
      </c>
      <c r="F36" s="125" t="n">
        <v>9.800000000000001</v>
      </c>
      <c r="G36" s="95" t="inlineStr">
        <is>
          <t>25°C standard</t>
        </is>
      </c>
    </row>
    <row r="37" ht="15" customHeight="1" s="78">
      <c r="A37" s="96" t="inlineStr">
        <is>
          <t>LIPO</t>
        </is>
      </c>
      <c r="B37" s="88" t="n">
        <v>2</v>
      </c>
      <c r="C37" s="88" t="n">
        <v>25</v>
      </c>
      <c r="D37" s="88" t="n">
        <v>5</v>
      </c>
      <c r="E37" s="124" t="n">
        <v>3.018</v>
      </c>
      <c r="F37" s="124" t="n">
        <v>4.9</v>
      </c>
      <c r="G37" s="88" t="inlineStr">
        <is>
          <t>25°C standard</t>
        </is>
      </c>
    </row>
    <row r="38" ht="15" customHeight="1" s="78">
      <c r="A38" s="96" t="inlineStr">
        <is>
          <t>LIPO</t>
        </is>
      </c>
      <c r="B38" s="95" t="n">
        <v>2</v>
      </c>
      <c r="C38" s="95" t="n">
        <v>25</v>
      </c>
      <c r="D38" s="95" t="n">
        <v>0</v>
      </c>
      <c r="E38" s="125" t="n">
        <v>3</v>
      </c>
      <c r="F38" s="125" t="n">
        <v>0</v>
      </c>
      <c r="G38" s="95" t="inlineStr">
        <is>
          <t>25°C standard</t>
        </is>
      </c>
    </row>
    <row r="39" ht="15" customHeight="1" s="78">
      <c r="A39" s="96" t="inlineStr">
        <is>
          <t>LIPO</t>
        </is>
      </c>
      <c r="B39" s="88" t="n">
        <v>5</v>
      </c>
      <c r="C39" s="88" t="n">
        <v>25</v>
      </c>
      <c r="D39" s="88" t="n">
        <v>100</v>
      </c>
      <c r="E39" s="124" t="n">
        <v>4.19</v>
      </c>
      <c r="F39" s="124" t="n">
        <v>95</v>
      </c>
      <c r="G39" s="88" t="inlineStr">
        <is>
          <t>25°C standard</t>
        </is>
      </c>
    </row>
    <row r="40" ht="15" customHeight="1" s="78">
      <c r="A40" s="96" t="inlineStr">
        <is>
          <t>LIPO</t>
        </is>
      </c>
      <c r="B40" s="95" t="n">
        <v>5</v>
      </c>
      <c r="C40" s="95" t="n">
        <v>25</v>
      </c>
      <c r="D40" s="95" t="n">
        <v>90</v>
      </c>
      <c r="E40" s="125" t="n">
        <v>4.06</v>
      </c>
      <c r="F40" s="125" t="n">
        <v>85.5</v>
      </c>
      <c r="G40" s="95" t="inlineStr">
        <is>
          <t>25°C standard</t>
        </is>
      </c>
    </row>
    <row r="41" ht="15" customHeight="1" s="78">
      <c r="A41" s="96" t="inlineStr">
        <is>
          <t>LIPO</t>
        </is>
      </c>
      <c r="B41" s="88" t="n">
        <v>5</v>
      </c>
      <c r="C41" s="88" t="n">
        <v>25</v>
      </c>
      <c r="D41" s="88" t="n">
        <v>80</v>
      </c>
      <c r="E41" s="124" t="n">
        <v>3.93</v>
      </c>
      <c r="F41" s="124" t="n">
        <v>76</v>
      </c>
      <c r="G41" s="88" t="inlineStr">
        <is>
          <t>25°C standard</t>
        </is>
      </c>
    </row>
    <row r="42" ht="15" customHeight="1" s="78">
      <c r="A42" s="96" t="inlineStr">
        <is>
          <t>LIPO</t>
        </is>
      </c>
      <c r="B42" s="95" t="n">
        <v>5</v>
      </c>
      <c r="C42" s="95" t="n">
        <v>25</v>
      </c>
      <c r="D42" s="95" t="n">
        <v>70</v>
      </c>
      <c r="E42" s="125" t="n">
        <v>3.8</v>
      </c>
      <c r="F42" s="125" t="n">
        <v>66.5</v>
      </c>
      <c r="G42" s="95" t="inlineStr">
        <is>
          <t>25°C standard</t>
        </is>
      </c>
    </row>
    <row r="43" ht="15" customHeight="1" s="78">
      <c r="A43" s="96" t="inlineStr">
        <is>
          <t>LIPO</t>
        </is>
      </c>
      <c r="B43" s="88" t="n">
        <v>5</v>
      </c>
      <c r="C43" s="88" t="n">
        <v>25</v>
      </c>
      <c r="D43" s="88" t="n">
        <v>60</v>
      </c>
      <c r="E43" s="124" t="n">
        <v>3.67</v>
      </c>
      <c r="F43" s="124" t="n">
        <v>57</v>
      </c>
      <c r="G43" s="88" t="inlineStr">
        <is>
          <t>25°C standard</t>
        </is>
      </c>
    </row>
    <row r="44" ht="15" customHeight="1" s="78">
      <c r="A44" s="96" t="inlineStr">
        <is>
          <t>LIPO</t>
        </is>
      </c>
      <c r="B44" s="95" t="n">
        <v>5</v>
      </c>
      <c r="C44" s="95" t="n">
        <v>25</v>
      </c>
      <c r="D44" s="95" t="n">
        <v>50</v>
      </c>
      <c r="E44" s="125" t="n">
        <v>3.54</v>
      </c>
      <c r="F44" s="125" t="n">
        <v>47.5</v>
      </c>
      <c r="G44" s="95" t="inlineStr">
        <is>
          <t>25°C standard</t>
        </is>
      </c>
    </row>
    <row r="45" ht="15" customHeight="1" s="78">
      <c r="A45" s="96" t="inlineStr">
        <is>
          <t>LIPO</t>
        </is>
      </c>
      <c r="B45" s="88" t="n">
        <v>5</v>
      </c>
      <c r="C45" s="88" t="n">
        <v>25</v>
      </c>
      <c r="D45" s="88" t="n">
        <v>40</v>
      </c>
      <c r="E45" s="124" t="n">
        <v>3.41</v>
      </c>
      <c r="F45" s="124" t="n">
        <v>38</v>
      </c>
      <c r="G45" s="88" t="inlineStr">
        <is>
          <t>25°C standard</t>
        </is>
      </c>
    </row>
    <row r="46" ht="15" customHeight="1" s="78">
      <c r="A46" s="96" t="inlineStr">
        <is>
          <t>LIPO</t>
        </is>
      </c>
      <c r="B46" s="95" t="n">
        <v>5</v>
      </c>
      <c r="C46" s="95" t="n">
        <v>25</v>
      </c>
      <c r="D46" s="95" t="n">
        <v>30</v>
      </c>
      <c r="E46" s="125" t="n">
        <v>3.28</v>
      </c>
      <c r="F46" s="125" t="n">
        <v>28.5</v>
      </c>
      <c r="G46" s="95" t="inlineStr">
        <is>
          <t>25°C standard</t>
        </is>
      </c>
    </row>
    <row r="47" ht="15" customHeight="1" s="78">
      <c r="A47" s="96" t="inlineStr">
        <is>
          <t>LIPO</t>
        </is>
      </c>
      <c r="B47" s="88" t="n">
        <v>5</v>
      </c>
      <c r="C47" s="88" t="n">
        <v>25</v>
      </c>
      <c r="D47" s="88" t="n">
        <v>20</v>
      </c>
      <c r="E47" s="124" t="n">
        <v>3.15</v>
      </c>
      <c r="F47" s="124" t="n">
        <v>19</v>
      </c>
      <c r="G47" s="88" t="inlineStr">
        <is>
          <t>25°C standard</t>
        </is>
      </c>
    </row>
    <row r="48" ht="15" customHeight="1" s="78">
      <c r="A48" s="96" t="inlineStr">
        <is>
          <t>LIPO</t>
        </is>
      </c>
      <c r="B48" s="95" t="n">
        <v>5</v>
      </c>
      <c r="C48" s="95" t="n">
        <v>25</v>
      </c>
      <c r="D48" s="95" t="n">
        <v>10</v>
      </c>
      <c r="E48" s="125" t="n">
        <v>3.02</v>
      </c>
      <c r="F48" s="125" t="n">
        <v>9.5</v>
      </c>
      <c r="G48" s="95" t="inlineStr">
        <is>
          <t>25°C standard</t>
        </is>
      </c>
    </row>
    <row r="49" ht="15" customHeight="1" s="78">
      <c r="A49" s="96" t="inlineStr">
        <is>
          <t>LIPO</t>
        </is>
      </c>
      <c r="B49" s="88" t="n">
        <v>5</v>
      </c>
      <c r="C49" s="88" t="n">
        <v>25</v>
      </c>
      <c r="D49" s="88" t="n">
        <v>5</v>
      </c>
      <c r="E49" s="124" t="n">
        <v>3</v>
      </c>
      <c r="F49" s="124" t="n">
        <v>4.8</v>
      </c>
      <c r="G49" s="88" t="inlineStr">
        <is>
          <t>25°C standard</t>
        </is>
      </c>
    </row>
    <row r="50" ht="15" customHeight="1" s="78">
      <c r="A50" s="96" t="inlineStr">
        <is>
          <t>LIPO</t>
        </is>
      </c>
      <c r="B50" s="95" t="n">
        <v>5</v>
      </c>
      <c r="C50" s="95" t="n">
        <v>25</v>
      </c>
      <c r="D50" s="95" t="n">
        <v>0</v>
      </c>
      <c r="E50" s="125" t="n">
        <v>3</v>
      </c>
      <c r="F50" s="125" t="n">
        <v>0</v>
      </c>
      <c r="G50" s="95" t="inlineStr">
        <is>
          <t>25°C standard</t>
        </is>
      </c>
    </row>
    <row r="51" ht="15" customHeight="1" s="78">
      <c r="A51" s="97" t="inlineStr">
        <is>
          <t>LION</t>
        </is>
      </c>
      <c r="B51" s="88" t="n">
        <v>0.5</v>
      </c>
      <c r="C51" s="88" t="n">
        <v>25</v>
      </c>
      <c r="D51" s="88" t="n">
        <v>100</v>
      </c>
      <c r="E51" s="124" t="n">
        <v>4.199</v>
      </c>
      <c r="F51" s="124" t="n">
        <v>99.59999999999999</v>
      </c>
      <c r="G51" s="88" t="inlineStr">
        <is>
          <t>25°C NMC 21700</t>
        </is>
      </c>
    </row>
    <row r="52" ht="15" customHeight="1" s="78">
      <c r="A52" s="97" t="inlineStr">
        <is>
          <t>LION</t>
        </is>
      </c>
      <c r="B52" s="95" t="n">
        <v>0.5</v>
      </c>
      <c r="C52" s="95" t="n">
        <v>25</v>
      </c>
      <c r="D52" s="95" t="n">
        <v>90</v>
      </c>
      <c r="E52" s="125" t="n">
        <v>4.078</v>
      </c>
      <c r="F52" s="125" t="n">
        <v>89.59999999999999</v>
      </c>
      <c r="G52" s="95" t="inlineStr">
        <is>
          <t>25°C NMC 21700</t>
        </is>
      </c>
    </row>
    <row r="53" ht="15" customHeight="1" s="78">
      <c r="A53" s="97" t="inlineStr">
        <is>
          <t>LION</t>
        </is>
      </c>
      <c r="B53" s="88" t="n">
        <v>0.5</v>
      </c>
      <c r="C53" s="88" t="n">
        <v>25</v>
      </c>
      <c r="D53" s="88" t="n">
        <v>80</v>
      </c>
      <c r="E53" s="124" t="n">
        <v>3.957</v>
      </c>
      <c r="F53" s="124" t="n">
        <v>79.7</v>
      </c>
      <c r="G53" s="88" t="inlineStr">
        <is>
          <t>25°C NMC 21700</t>
        </is>
      </c>
    </row>
    <row r="54" ht="15" customHeight="1" s="78">
      <c r="A54" s="97" t="inlineStr">
        <is>
          <t>LION</t>
        </is>
      </c>
      <c r="B54" s="95" t="n">
        <v>0.5</v>
      </c>
      <c r="C54" s="95" t="n">
        <v>25</v>
      </c>
      <c r="D54" s="95" t="n">
        <v>70</v>
      </c>
      <c r="E54" s="125" t="n">
        <v>3.836</v>
      </c>
      <c r="F54" s="125" t="n">
        <v>69.7</v>
      </c>
      <c r="G54" s="95" t="inlineStr">
        <is>
          <t>25°C NMC 21700</t>
        </is>
      </c>
    </row>
    <row r="55" ht="15" customHeight="1" s="78">
      <c r="A55" s="97" t="inlineStr">
        <is>
          <t>LION</t>
        </is>
      </c>
      <c r="B55" s="88" t="n">
        <v>0.5</v>
      </c>
      <c r="C55" s="88" t="n">
        <v>25</v>
      </c>
      <c r="D55" s="88" t="n">
        <v>60</v>
      </c>
      <c r="E55" s="124" t="n">
        <v>3.714</v>
      </c>
      <c r="F55" s="124" t="n">
        <v>59.8</v>
      </c>
      <c r="G55" s="88" t="inlineStr">
        <is>
          <t>25°C NMC 21700</t>
        </is>
      </c>
    </row>
    <row r="56" ht="15" customHeight="1" s="78">
      <c r="A56" s="97" t="inlineStr">
        <is>
          <t>LION</t>
        </is>
      </c>
      <c r="B56" s="95" t="n">
        <v>0.5</v>
      </c>
      <c r="C56" s="95" t="n">
        <v>25</v>
      </c>
      <c r="D56" s="95" t="n">
        <v>50</v>
      </c>
      <c r="E56" s="125" t="n">
        <v>3.593</v>
      </c>
      <c r="F56" s="125" t="n">
        <v>49.8</v>
      </c>
      <c r="G56" s="95" t="inlineStr">
        <is>
          <t>25°C NMC 21700</t>
        </is>
      </c>
    </row>
    <row r="57" ht="15" customHeight="1" s="78">
      <c r="A57" s="97" t="inlineStr">
        <is>
          <t>LION</t>
        </is>
      </c>
      <c r="B57" s="88" t="n">
        <v>0.5</v>
      </c>
      <c r="C57" s="88" t="n">
        <v>25</v>
      </c>
      <c r="D57" s="88" t="n">
        <v>40</v>
      </c>
      <c r="E57" s="124" t="n">
        <v>3.472</v>
      </c>
      <c r="F57" s="124" t="n">
        <v>39.8</v>
      </c>
      <c r="G57" s="88" t="inlineStr">
        <is>
          <t>25°C NMC 21700</t>
        </is>
      </c>
    </row>
    <row r="58" ht="15" customHeight="1" s="78">
      <c r="A58" s="97" t="inlineStr">
        <is>
          <t>LION</t>
        </is>
      </c>
      <c r="B58" s="95" t="n">
        <v>0.5</v>
      </c>
      <c r="C58" s="95" t="n">
        <v>25</v>
      </c>
      <c r="D58" s="95" t="n">
        <v>30</v>
      </c>
      <c r="E58" s="125" t="n">
        <v>3.351</v>
      </c>
      <c r="F58" s="125" t="n">
        <v>29.9</v>
      </c>
      <c r="G58" s="95" t="inlineStr">
        <is>
          <t>25°C NMC 21700</t>
        </is>
      </c>
    </row>
    <row r="59" ht="15" customHeight="1" s="78">
      <c r="A59" s="97" t="inlineStr">
        <is>
          <t>LION</t>
        </is>
      </c>
      <c r="B59" s="88" t="n">
        <v>0.5</v>
      </c>
      <c r="C59" s="88" t="n">
        <v>25</v>
      </c>
      <c r="D59" s="88" t="n">
        <v>20</v>
      </c>
      <c r="E59" s="124" t="n">
        <v>3.229</v>
      </c>
      <c r="F59" s="124" t="n">
        <v>19.9</v>
      </c>
      <c r="G59" s="88" t="inlineStr">
        <is>
          <t>25°C NMC 21700</t>
        </is>
      </c>
    </row>
    <row r="60" ht="15" customHeight="1" s="78">
      <c r="A60" s="97" t="inlineStr">
        <is>
          <t>LION</t>
        </is>
      </c>
      <c r="B60" s="95" t="n">
        <v>0.5</v>
      </c>
      <c r="C60" s="95" t="n">
        <v>25</v>
      </c>
      <c r="D60" s="95" t="n">
        <v>10</v>
      </c>
      <c r="E60" s="125" t="n">
        <v>3.108</v>
      </c>
      <c r="F60" s="125" t="n">
        <v>10</v>
      </c>
      <c r="G60" s="95" t="inlineStr">
        <is>
          <t>25°C NMC 21700</t>
        </is>
      </c>
    </row>
    <row r="61" ht="15" customHeight="1" s="78">
      <c r="A61" s="97" t="inlineStr">
        <is>
          <t>LION</t>
        </is>
      </c>
      <c r="B61" s="88" t="n">
        <v>0.5</v>
      </c>
      <c r="C61" s="88" t="n">
        <v>25</v>
      </c>
      <c r="D61" s="88" t="n">
        <v>5</v>
      </c>
      <c r="E61" s="124" t="n">
        <v>3.047</v>
      </c>
      <c r="F61" s="124" t="n">
        <v>5</v>
      </c>
      <c r="G61" s="88" t="inlineStr">
        <is>
          <t>25°C NMC 21700</t>
        </is>
      </c>
    </row>
    <row r="62" ht="15" customHeight="1" s="78">
      <c r="A62" s="97" t="inlineStr">
        <is>
          <t>LION</t>
        </is>
      </c>
      <c r="B62" s="95" t="n">
        <v>0.5</v>
      </c>
      <c r="C62" s="95" t="n">
        <v>25</v>
      </c>
      <c r="D62" s="95" t="n">
        <v>0</v>
      </c>
      <c r="E62" s="125" t="n">
        <v>2.987</v>
      </c>
      <c r="F62" s="125" t="n">
        <v>0</v>
      </c>
      <c r="G62" s="95" t="inlineStr">
        <is>
          <t>25°C NMC 21700</t>
        </is>
      </c>
    </row>
    <row r="63" ht="15" customHeight="1" s="78">
      <c r="A63" s="97" t="inlineStr">
        <is>
          <t>LION</t>
        </is>
      </c>
      <c r="B63" s="88" t="n">
        <v>1</v>
      </c>
      <c r="C63" s="88" t="n">
        <v>25</v>
      </c>
      <c r="D63" s="88" t="n">
        <v>100</v>
      </c>
      <c r="E63" s="124" t="n">
        <v>4.199</v>
      </c>
      <c r="F63" s="124" t="n">
        <v>99.2</v>
      </c>
      <c r="G63" s="88" t="inlineStr">
        <is>
          <t>25°C NMC 21700</t>
        </is>
      </c>
    </row>
    <row r="64" ht="15" customHeight="1" s="78">
      <c r="A64" s="97" t="inlineStr">
        <is>
          <t>LION</t>
        </is>
      </c>
      <c r="B64" s="95" t="n">
        <v>1</v>
      </c>
      <c r="C64" s="95" t="n">
        <v>25</v>
      </c>
      <c r="D64" s="95" t="n">
        <v>90</v>
      </c>
      <c r="E64" s="125" t="n">
        <v>4.076</v>
      </c>
      <c r="F64" s="125" t="n">
        <v>89.3</v>
      </c>
      <c r="G64" s="95" t="inlineStr">
        <is>
          <t>25°C NMC 21700</t>
        </is>
      </c>
    </row>
    <row r="65" ht="15" customHeight="1" s="78">
      <c r="A65" s="97" t="inlineStr">
        <is>
          <t>LION</t>
        </is>
      </c>
      <c r="B65" s="88" t="n">
        <v>1</v>
      </c>
      <c r="C65" s="88" t="n">
        <v>25</v>
      </c>
      <c r="D65" s="88" t="n">
        <v>80</v>
      </c>
      <c r="E65" s="124" t="n">
        <v>3.954</v>
      </c>
      <c r="F65" s="124" t="n">
        <v>79.40000000000001</v>
      </c>
      <c r="G65" s="88" t="inlineStr">
        <is>
          <t>25°C NMC 21700</t>
        </is>
      </c>
    </row>
    <row r="66" ht="15" customHeight="1" s="78">
      <c r="A66" s="97" t="inlineStr">
        <is>
          <t>LION</t>
        </is>
      </c>
      <c r="B66" s="95" t="n">
        <v>1</v>
      </c>
      <c r="C66" s="95" t="n">
        <v>25</v>
      </c>
      <c r="D66" s="95" t="n">
        <v>70</v>
      </c>
      <c r="E66" s="125" t="n">
        <v>3.831</v>
      </c>
      <c r="F66" s="125" t="n">
        <v>69.40000000000001</v>
      </c>
      <c r="G66" s="95" t="inlineStr">
        <is>
          <t>25°C NMC 21700</t>
        </is>
      </c>
    </row>
    <row r="67" ht="15" customHeight="1" s="78">
      <c r="A67" s="97" t="inlineStr">
        <is>
          <t>LION</t>
        </is>
      </c>
      <c r="B67" s="88" t="n">
        <v>1</v>
      </c>
      <c r="C67" s="88" t="n">
        <v>25</v>
      </c>
      <c r="D67" s="88" t="n">
        <v>60</v>
      </c>
      <c r="E67" s="124" t="n">
        <v>3.709</v>
      </c>
      <c r="F67" s="124" t="n">
        <v>59.5</v>
      </c>
      <c r="G67" s="88" t="inlineStr">
        <is>
          <t>25°C NMC 21700</t>
        </is>
      </c>
    </row>
    <row r="68" ht="15" customHeight="1" s="78">
      <c r="A68" s="97" t="inlineStr">
        <is>
          <t>LION</t>
        </is>
      </c>
      <c r="B68" s="95" t="n">
        <v>1</v>
      </c>
      <c r="C68" s="95" t="n">
        <v>25</v>
      </c>
      <c r="D68" s="95" t="n">
        <v>50</v>
      </c>
      <c r="E68" s="125" t="n">
        <v>3.586</v>
      </c>
      <c r="F68" s="125" t="n">
        <v>49.6</v>
      </c>
      <c r="G68" s="95" t="inlineStr">
        <is>
          <t>25°C NMC 21700</t>
        </is>
      </c>
    </row>
    <row r="69" ht="15" customHeight="1" s="78">
      <c r="A69" s="97" t="inlineStr">
        <is>
          <t>LION</t>
        </is>
      </c>
      <c r="B69" s="88" t="n">
        <v>1</v>
      </c>
      <c r="C69" s="88" t="n">
        <v>25</v>
      </c>
      <c r="D69" s="88" t="n">
        <v>40</v>
      </c>
      <c r="E69" s="124" t="n">
        <v>3.464</v>
      </c>
      <c r="F69" s="124" t="n">
        <v>39.7</v>
      </c>
      <c r="G69" s="88" t="inlineStr">
        <is>
          <t>25°C NMC 21700</t>
        </is>
      </c>
    </row>
    <row r="70" ht="15" customHeight="1" s="78">
      <c r="A70" s="97" t="inlineStr">
        <is>
          <t>LION</t>
        </is>
      </c>
      <c r="B70" s="95" t="n">
        <v>1</v>
      </c>
      <c r="C70" s="95" t="n">
        <v>25</v>
      </c>
      <c r="D70" s="95" t="n">
        <v>30</v>
      </c>
      <c r="E70" s="125" t="n">
        <v>3.341</v>
      </c>
      <c r="F70" s="125" t="n">
        <v>29.8</v>
      </c>
      <c r="G70" s="95" t="inlineStr">
        <is>
          <t>25°C NMC 21700</t>
        </is>
      </c>
    </row>
    <row r="71" ht="15" customHeight="1" s="78">
      <c r="A71" s="97" t="inlineStr">
        <is>
          <t>LION</t>
        </is>
      </c>
      <c r="B71" s="88" t="n">
        <v>1</v>
      </c>
      <c r="C71" s="88" t="n">
        <v>25</v>
      </c>
      <c r="D71" s="88" t="n">
        <v>20</v>
      </c>
      <c r="E71" s="124" t="n">
        <v>3.219</v>
      </c>
      <c r="F71" s="124" t="n">
        <v>19.8</v>
      </c>
      <c r="G71" s="88" t="inlineStr">
        <is>
          <t>25°C NMC 21700</t>
        </is>
      </c>
    </row>
    <row r="72" ht="15" customHeight="1" s="78">
      <c r="A72" s="97" t="inlineStr">
        <is>
          <t>LION</t>
        </is>
      </c>
      <c r="B72" s="95" t="n">
        <v>1</v>
      </c>
      <c r="C72" s="95" t="n">
        <v>25</v>
      </c>
      <c r="D72" s="95" t="n">
        <v>10</v>
      </c>
      <c r="E72" s="125" t="n">
        <v>3.096</v>
      </c>
      <c r="F72" s="125" t="n">
        <v>9.9</v>
      </c>
      <c r="G72" s="95" t="inlineStr">
        <is>
          <t>25°C NMC 21700</t>
        </is>
      </c>
    </row>
    <row r="73" ht="15" customHeight="1" s="78">
      <c r="A73" s="97" t="inlineStr">
        <is>
          <t>LION</t>
        </is>
      </c>
      <c r="B73" s="88" t="n">
        <v>1</v>
      </c>
      <c r="C73" s="88" t="n">
        <v>25</v>
      </c>
      <c r="D73" s="88" t="n">
        <v>5</v>
      </c>
      <c r="E73" s="124" t="n">
        <v>3.035</v>
      </c>
      <c r="F73" s="124" t="n">
        <v>5</v>
      </c>
      <c r="G73" s="88" t="inlineStr">
        <is>
          <t>25°C NMC 21700</t>
        </is>
      </c>
    </row>
    <row r="74" ht="15" customHeight="1" s="78">
      <c r="A74" s="97" t="inlineStr">
        <is>
          <t>LION</t>
        </is>
      </c>
      <c r="B74" s="95" t="n">
        <v>1</v>
      </c>
      <c r="C74" s="95" t="n">
        <v>25</v>
      </c>
      <c r="D74" s="95" t="n">
        <v>0</v>
      </c>
      <c r="E74" s="125" t="n">
        <v>2.974</v>
      </c>
      <c r="F74" s="125" t="n">
        <v>0</v>
      </c>
      <c r="G74" s="95" t="inlineStr">
        <is>
          <t>25°C NMC 21700</t>
        </is>
      </c>
    </row>
    <row r="75" ht="15" customHeight="1" s="78">
      <c r="A75" s="97" t="inlineStr">
        <is>
          <t>LION</t>
        </is>
      </c>
      <c r="B75" s="88" t="n">
        <v>2</v>
      </c>
      <c r="C75" s="88" t="n">
        <v>25</v>
      </c>
      <c r="D75" s="88" t="n">
        <v>100</v>
      </c>
      <c r="E75" s="124" t="n">
        <v>4.197</v>
      </c>
      <c r="F75" s="124" t="n">
        <v>98.40000000000001</v>
      </c>
      <c r="G75" s="88" t="inlineStr">
        <is>
          <t>25°C NMC 21700</t>
        </is>
      </c>
    </row>
    <row r="76" ht="15" customHeight="1" s="78">
      <c r="A76" s="97" t="inlineStr">
        <is>
          <t>LION</t>
        </is>
      </c>
      <c r="B76" s="95" t="n">
        <v>2</v>
      </c>
      <c r="C76" s="95" t="n">
        <v>25</v>
      </c>
      <c r="D76" s="95" t="n">
        <v>90</v>
      </c>
      <c r="E76" s="125" t="n">
        <v>4.072</v>
      </c>
      <c r="F76" s="125" t="n">
        <v>88.59999999999999</v>
      </c>
      <c r="G76" s="95" t="inlineStr">
        <is>
          <t>25°C NMC 21700</t>
        </is>
      </c>
    </row>
    <row r="77" ht="15" customHeight="1" s="78">
      <c r="A77" s="97" t="inlineStr">
        <is>
          <t>LION</t>
        </is>
      </c>
      <c r="B77" s="88" t="n">
        <v>2</v>
      </c>
      <c r="C77" s="88" t="n">
        <v>25</v>
      </c>
      <c r="D77" s="88" t="n">
        <v>80</v>
      </c>
      <c r="E77" s="124" t="n">
        <v>3.947</v>
      </c>
      <c r="F77" s="124" t="n">
        <v>78.7</v>
      </c>
      <c r="G77" s="88" t="inlineStr">
        <is>
          <t>25°C NMC 21700</t>
        </is>
      </c>
    </row>
    <row r="78" ht="15" customHeight="1" s="78">
      <c r="A78" s="97" t="inlineStr">
        <is>
          <t>LION</t>
        </is>
      </c>
      <c r="B78" s="95" t="n">
        <v>2</v>
      </c>
      <c r="C78" s="95" t="n">
        <v>25</v>
      </c>
      <c r="D78" s="95" t="n">
        <v>70</v>
      </c>
      <c r="E78" s="125" t="n">
        <v>3.822</v>
      </c>
      <c r="F78" s="125" t="n">
        <v>68.90000000000001</v>
      </c>
      <c r="G78" s="95" t="inlineStr">
        <is>
          <t>25°C NMC 21700</t>
        </is>
      </c>
    </row>
    <row r="79" ht="15" customHeight="1" s="78">
      <c r="A79" s="97" t="inlineStr">
        <is>
          <t>LION</t>
        </is>
      </c>
      <c r="B79" s="88" t="n">
        <v>2</v>
      </c>
      <c r="C79" s="88" t="n">
        <v>25</v>
      </c>
      <c r="D79" s="88" t="n">
        <v>60</v>
      </c>
      <c r="E79" s="124" t="n">
        <v>3.698</v>
      </c>
      <c r="F79" s="124" t="n">
        <v>59</v>
      </c>
      <c r="G79" s="88" t="inlineStr">
        <is>
          <t>25°C NMC 21700</t>
        </is>
      </c>
    </row>
    <row r="80" ht="15" customHeight="1" s="78">
      <c r="A80" s="97" t="inlineStr">
        <is>
          <t>LION</t>
        </is>
      </c>
      <c r="B80" s="95" t="n">
        <v>2</v>
      </c>
      <c r="C80" s="95" t="n">
        <v>25</v>
      </c>
      <c r="D80" s="95" t="n">
        <v>50</v>
      </c>
      <c r="E80" s="125" t="n">
        <v>3.573</v>
      </c>
      <c r="F80" s="125" t="n">
        <v>49.2</v>
      </c>
      <c r="G80" s="95" t="inlineStr">
        <is>
          <t>25°C NMC 21700</t>
        </is>
      </c>
    </row>
    <row r="81" ht="15" customHeight="1" s="78">
      <c r="A81" s="97" t="inlineStr">
        <is>
          <t>LION</t>
        </is>
      </c>
      <c r="B81" s="88" t="n">
        <v>2</v>
      </c>
      <c r="C81" s="88" t="n">
        <v>25</v>
      </c>
      <c r="D81" s="88" t="n">
        <v>40</v>
      </c>
      <c r="E81" s="124" t="n">
        <v>3.447</v>
      </c>
      <c r="F81" s="124" t="n">
        <v>39.4</v>
      </c>
      <c r="G81" s="88" t="inlineStr">
        <is>
          <t>25°C NMC 21700</t>
        </is>
      </c>
    </row>
    <row r="82" ht="15" customHeight="1" s="78">
      <c r="A82" s="97" t="inlineStr">
        <is>
          <t>LION</t>
        </is>
      </c>
      <c r="B82" s="95" t="n">
        <v>2</v>
      </c>
      <c r="C82" s="95" t="n">
        <v>25</v>
      </c>
      <c r="D82" s="95" t="n">
        <v>30</v>
      </c>
      <c r="E82" s="125" t="n">
        <v>3.322</v>
      </c>
      <c r="F82" s="125" t="n">
        <v>29.5</v>
      </c>
      <c r="G82" s="95" t="inlineStr">
        <is>
          <t>25°C NMC 21700</t>
        </is>
      </c>
    </row>
    <row r="83" ht="15" customHeight="1" s="78">
      <c r="A83" s="97" t="inlineStr">
        <is>
          <t>LION</t>
        </is>
      </c>
      <c r="B83" s="88" t="n">
        <v>2</v>
      </c>
      <c r="C83" s="88" t="n">
        <v>25</v>
      </c>
      <c r="D83" s="88" t="n">
        <v>20</v>
      </c>
      <c r="E83" s="124" t="n">
        <v>3.198</v>
      </c>
      <c r="F83" s="124" t="n">
        <v>19.7</v>
      </c>
      <c r="G83" s="88" t="inlineStr">
        <is>
          <t>25°C NMC 21700</t>
        </is>
      </c>
    </row>
    <row r="84" ht="15" customHeight="1" s="78">
      <c r="A84" s="97" t="inlineStr">
        <is>
          <t>LION</t>
        </is>
      </c>
      <c r="B84" s="95" t="n">
        <v>2</v>
      </c>
      <c r="C84" s="95" t="n">
        <v>25</v>
      </c>
      <c r="D84" s="95" t="n">
        <v>10</v>
      </c>
      <c r="E84" s="125" t="n">
        <v>3.073</v>
      </c>
      <c r="F84" s="125" t="n">
        <v>9.800000000000001</v>
      </c>
      <c r="G84" s="95" t="inlineStr">
        <is>
          <t>25°C NMC 21700</t>
        </is>
      </c>
    </row>
    <row r="85" ht="15" customHeight="1" s="78">
      <c r="A85" s="97" t="inlineStr">
        <is>
          <t>LION</t>
        </is>
      </c>
      <c r="B85" s="88" t="n">
        <v>2</v>
      </c>
      <c r="C85" s="88" t="n">
        <v>25</v>
      </c>
      <c r="D85" s="88" t="n">
        <v>5</v>
      </c>
      <c r="E85" s="124" t="n">
        <v>3.01</v>
      </c>
      <c r="F85" s="124" t="n">
        <v>4.9</v>
      </c>
      <c r="G85" s="88" t="inlineStr">
        <is>
          <t>25°C NMC 21700</t>
        </is>
      </c>
    </row>
    <row r="86" ht="15" customHeight="1" s="78">
      <c r="A86" s="97" t="inlineStr">
        <is>
          <t>LION</t>
        </is>
      </c>
      <c r="B86" s="95" t="n">
        <v>2</v>
      </c>
      <c r="C86" s="95" t="n">
        <v>25</v>
      </c>
      <c r="D86" s="95" t="n">
        <v>0</v>
      </c>
      <c r="E86" s="125" t="n">
        <v>2.947</v>
      </c>
      <c r="F86" s="125" t="n">
        <v>0</v>
      </c>
      <c r="G86" s="95" t="inlineStr">
        <is>
          <t>25°C NMC 21700</t>
        </is>
      </c>
    </row>
    <row r="87" ht="15" customHeight="1" s="78">
      <c r="A87" s="97" t="inlineStr">
        <is>
          <t>LION</t>
        </is>
      </c>
      <c r="B87" s="88" t="n">
        <v>5</v>
      </c>
      <c r="C87" s="88" t="n">
        <v>25</v>
      </c>
      <c r="D87" s="88" t="n">
        <v>100</v>
      </c>
      <c r="E87" s="124" t="n">
        <v>4.194</v>
      </c>
      <c r="F87" s="124" t="n">
        <v>96</v>
      </c>
      <c r="G87" s="88" t="inlineStr">
        <is>
          <t>25°C NMC 21700</t>
        </is>
      </c>
    </row>
    <row r="88" ht="15" customHeight="1" s="78">
      <c r="A88" s="97" t="inlineStr">
        <is>
          <t>LION</t>
        </is>
      </c>
      <c r="B88" s="95" t="n">
        <v>5</v>
      </c>
      <c r="C88" s="95" t="n">
        <v>25</v>
      </c>
      <c r="D88" s="95" t="n">
        <v>90</v>
      </c>
      <c r="E88" s="125" t="n">
        <v>4.061</v>
      </c>
      <c r="F88" s="125" t="n">
        <v>86.40000000000001</v>
      </c>
      <c r="G88" s="95" t="inlineStr">
        <is>
          <t>25°C NMC 21700</t>
        </is>
      </c>
    </row>
    <row r="89" ht="15" customHeight="1" s="78">
      <c r="A89" s="97" t="inlineStr">
        <is>
          <t>LION</t>
        </is>
      </c>
      <c r="B89" s="88" t="n">
        <v>5</v>
      </c>
      <c r="C89" s="88" t="n">
        <v>25</v>
      </c>
      <c r="D89" s="88" t="n">
        <v>80</v>
      </c>
      <c r="E89" s="124" t="n">
        <v>3.929</v>
      </c>
      <c r="F89" s="124" t="n">
        <v>76.8</v>
      </c>
      <c r="G89" s="88" t="inlineStr">
        <is>
          <t>25°C NMC 21700</t>
        </is>
      </c>
    </row>
    <row r="90" ht="15" customHeight="1" s="78">
      <c r="A90" s="97" t="inlineStr">
        <is>
          <t>LION</t>
        </is>
      </c>
      <c r="B90" s="95" t="n">
        <v>5</v>
      </c>
      <c r="C90" s="95" t="n">
        <v>25</v>
      </c>
      <c r="D90" s="95" t="n">
        <v>70</v>
      </c>
      <c r="E90" s="125" t="n">
        <v>3.796</v>
      </c>
      <c r="F90" s="125" t="n">
        <v>67.2</v>
      </c>
      <c r="G90" s="95" t="inlineStr">
        <is>
          <t>25°C NMC 21700</t>
        </is>
      </c>
    </row>
    <row r="91" ht="15" customHeight="1" s="78">
      <c r="A91" s="97" t="inlineStr">
        <is>
          <t>LION</t>
        </is>
      </c>
      <c r="B91" s="88" t="n">
        <v>5</v>
      </c>
      <c r="C91" s="88" t="n">
        <v>25</v>
      </c>
      <c r="D91" s="88" t="n">
        <v>60</v>
      </c>
      <c r="E91" s="124" t="n">
        <v>3.664</v>
      </c>
      <c r="F91" s="124" t="n">
        <v>57.6</v>
      </c>
      <c r="G91" s="88" t="inlineStr">
        <is>
          <t>25°C NMC 21700</t>
        </is>
      </c>
    </row>
    <row r="92" ht="15" customHeight="1" s="78">
      <c r="A92" s="97" t="inlineStr">
        <is>
          <t>LION</t>
        </is>
      </c>
      <c r="B92" s="95" t="n">
        <v>5</v>
      </c>
      <c r="C92" s="95" t="n">
        <v>25</v>
      </c>
      <c r="D92" s="95" t="n">
        <v>50</v>
      </c>
      <c r="E92" s="125" t="n">
        <v>3.531</v>
      </c>
      <c r="F92" s="125" t="n">
        <v>48</v>
      </c>
      <c r="G92" s="95" t="inlineStr">
        <is>
          <t>25°C NMC 21700</t>
        </is>
      </c>
    </row>
    <row r="93" ht="15" customHeight="1" s="78">
      <c r="A93" s="97" t="inlineStr">
        <is>
          <t>LION</t>
        </is>
      </c>
      <c r="B93" s="88" t="n">
        <v>5</v>
      </c>
      <c r="C93" s="88" t="n">
        <v>25</v>
      </c>
      <c r="D93" s="88" t="n">
        <v>40</v>
      </c>
      <c r="E93" s="124" t="n">
        <v>3.399</v>
      </c>
      <c r="F93" s="124" t="n">
        <v>38.4</v>
      </c>
      <c r="G93" s="88" t="inlineStr">
        <is>
          <t>25°C NMC 21700</t>
        </is>
      </c>
    </row>
    <row r="94" ht="15" customHeight="1" s="78">
      <c r="A94" s="97" t="inlineStr">
        <is>
          <t>LION</t>
        </is>
      </c>
      <c r="B94" s="95" t="n">
        <v>5</v>
      </c>
      <c r="C94" s="95" t="n">
        <v>25</v>
      </c>
      <c r="D94" s="95" t="n">
        <v>30</v>
      </c>
      <c r="E94" s="125" t="n">
        <v>3.266</v>
      </c>
      <c r="F94" s="125" t="n">
        <v>28.8</v>
      </c>
      <c r="G94" s="95" t="inlineStr">
        <is>
          <t>25°C NMC 21700</t>
        </is>
      </c>
    </row>
    <row r="95" ht="15" customHeight="1" s="78">
      <c r="A95" s="97" t="inlineStr">
        <is>
          <t>LION</t>
        </is>
      </c>
      <c r="B95" s="88" t="n">
        <v>5</v>
      </c>
      <c r="C95" s="88" t="n">
        <v>25</v>
      </c>
      <c r="D95" s="88" t="n">
        <v>20</v>
      </c>
      <c r="E95" s="124" t="n">
        <v>3.134</v>
      </c>
      <c r="F95" s="124" t="n">
        <v>19.2</v>
      </c>
      <c r="G95" s="88" t="inlineStr">
        <is>
          <t>25°C NMC 21700</t>
        </is>
      </c>
    </row>
    <row r="96" ht="15" customHeight="1" s="78">
      <c r="A96" s="97" t="inlineStr">
        <is>
          <t>LION</t>
        </is>
      </c>
      <c r="B96" s="95" t="n">
        <v>5</v>
      </c>
      <c r="C96" s="95" t="n">
        <v>25</v>
      </c>
      <c r="D96" s="95" t="n">
        <v>10</v>
      </c>
      <c r="E96" s="125" t="n">
        <v>3.001</v>
      </c>
      <c r="F96" s="125" t="n">
        <v>9.6</v>
      </c>
      <c r="G96" s="95" t="inlineStr">
        <is>
          <t>25°C NMC 21700</t>
        </is>
      </c>
    </row>
    <row r="97" ht="15" customHeight="1" s="78">
      <c r="A97" s="97" t="inlineStr">
        <is>
          <t>LION</t>
        </is>
      </c>
      <c r="B97" s="88" t="n">
        <v>5</v>
      </c>
      <c r="C97" s="88" t="n">
        <v>25</v>
      </c>
      <c r="D97" s="88" t="n">
        <v>5</v>
      </c>
      <c r="E97" s="124" t="n">
        <v>2.935</v>
      </c>
      <c r="F97" s="124" t="n">
        <v>4.8</v>
      </c>
      <c r="G97" s="88" t="inlineStr">
        <is>
          <t>25°C NMC 21700</t>
        </is>
      </c>
    </row>
    <row r="98" ht="15" customHeight="1" s="78">
      <c r="A98" s="97" t="inlineStr">
        <is>
          <t>LION</t>
        </is>
      </c>
      <c r="B98" s="95" t="n">
        <v>5</v>
      </c>
      <c r="C98" s="95" t="n">
        <v>25</v>
      </c>
      <c r="D98" s="95" t="n">
        <v>0</v>
      </c>
      <c r="E98" s="125" t="n">
        <v>2.869</v>
      </c>
      <c r="F98" s="125" t="n">
        <v>0</v>
      </c>
      <c r="G98" s="95" t="inlineStr">
        <is>
          <t>25°C NMC 21700</t>
        </is>
      </c>
    </row>
    <row r="99" ht="15" customHeight="1" s="78">
      <c r="A99" s="94" t="inlineStr">
        <is>
          <t>LIFEPO4</t>
        </is>
      </c>
      <c r="B99" s="88" t="n">
        <v>0.5</v>
      </c>
      <c r="C99" s="88" t="n">
        <v>25</v>
      </c>
      <c r="D99" s="88" t="n">
        <v>100</v>
      </c>
      <c r="E99" s="124" t="n">
        <v>3.593</v>
      </c>
      <c r="F99" s="124" t="n">
        <v>99.8</v>
      </c>
      <c r="G99" s="88" t="inlineStr">
        <is>
          <t>25°C LFP flat plateau</t>
        </is>
      </c>
    </row>
    <row r="100" ht="15" customHeight="1" s="78">
      <c r="A100" s="94" t="inlineStr">
        <is>
          <t>LIFEPO4</t>
        </is>
      </c>
      <c r="B100" s="95" t="n">
        <v>0.5</v>
      </c>
      <c r="C100" s="95" t="n">
        <v>25</v>
      </c>
      <c r="D100" s="95" t="n">
        <v>90</v>
      </c>
      <c r="E100" s="125" t="n">
        <v>3.426</v>
      </c>
      <c r="F100" s="125" t="n">
        <v>89.8</v>
      </c>
      <c r="G100" s="95" t="inlineStr">
        <is>
          <t>25°C LFP flat plateau</t>
        </is>
      </c>
    </row>
    <row r="101" ht="15" customHeight="1" s="78">
      <c r="A101" s="94" t="inlineStr">
        <is>
          <t>LIFEPO4</t>
        </is>
      </c>
      <c r="B101" s="88" t="n">
        <v>0.5</v>
      </c>
      <c r="C101" s="88" t="n">
        <v>25</v>
      </c>
      <c r="D101" s="88" t="n">
        <v>80</v>
      </c>
      <c r="E101" s="124" t="n">
        <v>3.331</v>
      </c>
      <c r="F101" s="124" t="n">
        <v>79.8</v>
      </c>
      <c r="G101" s="88" t="inlineStr">
        <is>
          <t>25°C LFP flat plateau</t>
        </is>
      </c>
    </row>
    <row r="102" ht="15" customHeight="1" s="78">
      <c r="A102" s="94" t="inlineStr">
        <is>
          <t>LIFEPO4</t>
        </is>
      </c>
      <c r="B102" s="95" t="n">
        <v>0.5</v>
      </c>
      <c r="C102" s="95" t="n">
        <v>25</v>
      </c>
      <c r="D102" s="95" t="n">
        <v>70</v>
      </c>
      <c r="E102" s="125" t="n">
        <v>3.308</v>
      </c>
      <c r="F102" s="125" t="n">
        <v>69.8</v>
      </c>
      <c r="G102" s="95" t="inlineStr">
        <is>
          <t>25°C LFP flat plateau</t>
        </is>
      </c>
    </row>
    <row r="103" ht="15" customHeight="1" s="78">
      <c r="A103" s="94" t="inlineStr">
        <is>
          <t>LIFEPO4</t>
        </is>
      </c>
      <c r="B103" s="88" t="n">
        <v>0.5</v>
      </c>
      <c r="C103" s="88" t="n">
        <v>25</v>
      </c>
      <c r="D103" s="88" t="n">
        <v>60</v>
      </c>
      <c r="E103" s="124" t="n">
        <v>3.285</v>
      </c>
      <c r="F103" s="124" t="n">
        <v>59.9</v>
      </c>
      <c r="G103" s="88" t="inlineStr">
        <is>
          <t>25°C LFP flat plateau</t>
        </is>
      </c>
    </row>
    <row r="104" ht="15" customHeight="1" s="78">
      <c r="A104" s="94" t="inlineStr">
        <is>
          <t>LIFEPO4</t>
        </is>
      </c>
      <c r="B104" s="95" t="n">
        <v>0.5</v>
      </c>
      <c r="C104" s="95" t="n">
        <v>25</v>
      </c>
      <c r="D104" s="95" t="n">
        <v>50</v>
      </c>
      <c r="E104" s="125" t="n">
        <v>3.262</v>
      </c>
      <c r="F104" s="125" t="n">
        <v>49.9</v>
      </c>
      <c r="G104" s="95" t="inlineStr">
        <is>
          <t>25°C LFP flat plateau</t>
        </is>
      </c>
    </row>
    <row r="105" ht="15" customHeight="1" s="78">
      <c r="A105" s="94" t="inlineStr">
        <is>
          <t>LIFEPO4</t>
        </is>
      </c>
      <c r="B105" s="88" t="n">
        <v>0.5</v>
      </c>
      <c r="C105" s="88" t="n">
        <v>25</v>
      </c>
      <c r="D105" s="88" t="n">
        <v>40</v>
      </c>
      <c r="E105" s="124" t="n">
        <v>3.239</v>
      </c>
      <c r="F105" s="124" t="n">
        <v>39.9</v>
      </c>
      <c r="G105" s="88" t="inlineStr">
        <is>
          <t>25°C LFP flat plateau</t>
        </is>
      </c>
    </row>
    <row r="106" ht="15" customHeight="1" s="78">
      <c r="A106" s="94" t="inlineStr">
        <is>
          <t>LIFEPO4</t>
        </is>
      </c>
      <c r="B106" s="95" t="n">
        <v>0.5</v>
      </c>
      <c r="C106" s="95" t="n">
        <v>25</v>
      </c>
      <c r="D106" s="95" t="n">
        <v>30</v>
      </c>
      <c r="E106" s="125" t="n">
        <v>3.216</v>
      </c>
      <c r="F106" s="125" t="n">
        <v>29.9</v>
      </c>
      <c r="G106" s="95" t="inlineStr">
        <is>
          <t>25°C LFP flat plateau</t>
        </is>
      </c>
    </row>
    <row r="107" ht="15" customHeight="1" s="78">
      <c r="A107" s="94" t="inlineStr">
        <is>
          <t>LIFEPO4</t>
        </is>
      </c>
      <c r="B107" s="88" t="n">
        <v>0.5</v>
      </c>
      <c r="C107" s="88" t="n">
        <v>25</v>
      </c>
      <c r="D107" s="88" t="n">
        <v>20</v>
      </c>
      <c r="E107" s="124" t="n">
        <v>3.193</v>
      </c>
      <c r="F107" s="124" t="n">
        <v>20</v>
      </c>
      <c r="G107" s="88" t="inlineStr">
        <is>
          <t>25°C LFP flat plateau</t>
        </is>
      </c>
    </row>
    <row r="108" ht="15" customHeight="1" s="78">
      <c r="A108" s="94" t="inlineStr">
        <is>
          <t>LIFEPO4</t>
        </is>
      </c>
      <c r="B108" s="95" t="n">
        <v>0.5</v>
      </c>
      <c r="C108" s="95" t="n">
        <v>25</v>
      </c>
      <c r="D108" s="95" t="n">
        <v>10</v>
      </c>
      <c r="E108" s="125" t="n">
        <v>2.843</v>
      </c>
      <c r="F108" s="125" t="n">
        <v>10</v>
      </c>
      <c r="G108" s="95" t="inlineStr">
        <is>
          <t>25°C LFP flat plateau</t>
        </is>
      </c>
    </row>
    <row r="109" ht="15" customHeight="1" s="78">
      <c r="A109" s="94" t="inlineStr">
        <is>
          <t>LIFEPO4</t>
        </is>
      </c>
      <c r="B109" s="88" t="n">
        <v>0.5</v>
      </c>
      <c r="C109" s="88" t="n">
        <v>25</v>
      </c>
      <c r="D109" s="88" t="n">
        <v>5</v>
      </c>
      <c r="E109" s="124" t="n">
        <v>2.667</v>
      </c>
      <c r="F109" s="124" t="n">
        <v>5</v>
      </c>
      <c r="G109" s="88" t="inlineStr">
        <is>
          <t>25°C LFP flat plateau</t>
        </is>
      </c>
    </row>
    <row r="110" ht="15" customHeight="1" s="78">
      <c r="A110" s="94" t="inlineStr">
        <is>
          <t>LIFEPO4</t>
        </is>
      </c>
      <c r="B110" s="95" t="n">
        <v>0.5</v>
      </c>
      <c r="C110" s="95" t="n">
        <v>25</v>
      </c>
      <c r="D110" s="95" t="n">
        <v>0</v>
      </c>
      <c r="E110" s="125" t="n">
        <v>2.5</v>
      </c>
      <c r="F110" s="125" t="n">
        <v>0</v>
      </c>
      <c r="G110" s="95" t="inlineStr">
        <is>
          <t>25°C LFP flat plateau</t>
        </is>
      </c>
    </row>
    <row r="111" ht="15" customHeight="1" s="78">
      <c r="A111" s="94" t="inlineStr">
        <is>
          <t>LIFEPO4</t>
        </is>
      </c>
      <c r="B111" s="88" t="n">
        <v>1</v>
      </c>
      <c r="C111" s="88" t="n">
        <v>25</v>
      </c>
      <c r="D111" s="88" t="n">
        <v>100</v>
      </c>
      <c r="E111" s="124" t="n">
        <v>3.585</v>
      </c>
      <c r="F111" s="124" t="n">
        <v>99.5</v>
      </c>
      <c r="G111" s="88" t="inlineStr">
        <is>
          <t>25°C LFP flat plateau</t>
        </is>
      </c>
    </row>
    <row r="112" ht="15" customHeight="1" s="78">
      <c r="A112" s="94" t="inlineStr">
        <is>
          <t>LIFEPO4</t>
        </is>
      </c>
      <c r="B112" s="95" t="n">
        <v>1</v>
      </c>
      <c r="C112" s="95" t="n">
        <v>25</v>
      </c>
      <c r="D112" s="95" t="n">
        <v>90</v>
      </c>
      <c r="E112" s="125" t="n">
        <v>3.418</v>
      </c>
      <c r="F112" s="125" t="n">
        <v>89.5</v>
      </c>
      <c r="G112" s="95" t="inlineStr">
        <is>
          <t>25°C LFP flat plateau</t>
        </is>
      </c>
    </row>
    <row r="113" ht="15" customHeight="1" s="78">
      <c r="A113" s="94" t="inlineStr">
        <is>
          <t>LIFEPO4</t>
        </is>
      </c>
      <c r="B113" s="88" t="n">
        <v>1</v>
      </c>
      <c r="C113" s="88" t="n">
        <v>25</v>
      </c>
      <c r="D113" s="88" t="n">
        <v>80</v>
      </c>
      <c r="E113" s="124" t="n">
        <v>3.323</v>
      </c>
      <c r="F113" s="124" t="n">
        <v>79.59999999999999</v>
      </c>
      <c r="G113" s="88" t="inlineStr">
        <is>
          <t>25°C LFP flat plateau</t>
        </is>
      </c>
    </row>
    <row r="114" ht="15" customHeight="1" s="78">
      <c r="A114" s="94" t="inlineStr">
        <is>
          <t>LIFEPO4</t>
        </is>
      </c>
      <c r="B114" s="95" t="n">
        <v>1</v>
      </c>
      <c r="C114" s="95" t="n">
        <v>25</v>
      </c>
      <c r="D114" s="95" t="n">
        <v>70</v>
      </c>
      <c r="E114" s="125" t="n">
        <v>3.3</v>
      </c>
      <c r="F114" s="125" t="n">
        <v>69.7</v>
      </c>
      <c r="G114" s="95" t="inlineStr">
        <is>
          <t>25°C LFP flat plateau</t>
        </is>
      </c>
    </row>
    <row r="115" ht="15" customHeight="1" s="78">
      <c r="A115" s="94" t="inlineStr">
        <is>
          <t>LIFEPO4</t>
        </is>
      </c>
      <c r="B115" s="88" t="n">
        <v>1</v>
      </c>
      <c r="C115" s="88" t="n">
        <v>25</v>
      </c>
      <c r="D115" s="88" t="n">
        <v>60</v>
      </c>
      <c r="E115" s="124" t="n">
        <v>3.277</v>
      </c>
      <c r="F115" s="124" t="n">
        <v>59.7</v>
      </c>
      <c r="G115" s="88" t="inlineStr">
        <is>
          <t>25°C LFP flat plateau</t>
        </is>
      </c>
    </row>
    <row r="116" ht="15" customHeight="1" s="78">
      <c r="A116" s="94" t="inlineStr">
        <is>
          <t>LIFEPO4</t>
        </is>
      </c>
      <c r="B116" s="95" t="n">
        <v>1</v>
      </c>
      <c r="C116" s="95" t="n">
        <v>25</v>
      </c>
      <c r="D116" s="95" t="n">
        <v>50</v>
      </c>
      <c r="E116" s="125" t="n">
        <v>3.254</v>
      </c>
      <c r="F116" s="125" t="n">
        <v>49.8</v>
      </c>
      <c r="G116" s="95" t="inlineStr">
        <is>
          <t>25°C LFP flat plateau</t>
        </is>
      </c>
    </row>
    <row r="117" ht="15" customHeight="1" s="78">
      <c r="A117" s="94" t="inlineStr">
        <is>
          <t>LIFEPO4</t>
        </is>
      </c>
      <c r="B117" s="88" t="n">
        <v>1</v>
      </c>
      <c r="C117" s="88" t="n">
        <v>25</v>
      </c>
      <c r="D117" s="88" t="n">
        <v>40</v>
      </c>
      <c r="E117" s="124" t="n">
        <v>3.231</v>
      </c>
      <c r="F117" s="124" t="n">
        <v>39.8</v>
      </c>
      <c r="G117" s="88" t="inlineStr">
        <is>
          <t>25°C LFP flat plateau</t>
        </is>
      </c>
    </row>
    <row r="118" ht="15" customHeight="1" s="78">
      <c r="A118" s="94" t="inlineStr">
        <is>
          <t>LIFEPO4</t>
        </is>
      </c>
      <c r="B118" s="95" t="n">
        <v>1</v>
      </c>
      <c r="C118" s="95" t="n">
        <v>25</v>
      </c>
      <c r="D118" s="95" t="n">
        <v>30</v>
      </c>
      <c r="E118" s="125" t="n">
        <v>3.208</v>
      </c>
      <c r="F118" s="125" t="n">
        <v>29.9</v>
      </c>
      <c r="G118" s="95" t="inlineStr">
        <is>
          <t>25°C LFP flat plateau</t>
        </is>
      </c>
    </row>
    <row r="119" ht="15" customHeight="1" s="78">
      <c r="A119" s="94" t="inlineStr">
        <is>
          <t>LIFEPO4</t>
        </is>
      </c>
      <c r="B119" s="88" t="n">
        <v>1</v>
      </c>
      <c r="C119" s="88" t="n">
        <v>25</v>
      </c>
      <c r="D119" s="88" t="n">
        <v>20</v>
      </c>
      <c r="E119" s="124" t="n">
        <v>3.185</v>
      </c>
      <c r="F119" s="124" t="n">
        <v>19.9</v>
      </c>
      <c r="G119" s="88" t="inlineStr">
        <is>
          <t>25°C LFP flat plateau</t>
        </is>
      </c>
    </row>
    <row r="120" ht="15" customHeight="1" s="78">
      <c r="A120" s="94" t="inlineStr">
        <is>
          <t>LIFEPO4</t>
        </is>
      </c>
      <c r="B120" s="95" t="n">
        <v>1</v>
      </c>
      <c r="C120" s="95" t="n">
        <v>25</v>
      </c>
      <c r="D120" s="95" t="n">
        <v>10</v>
      </c>
      <c r="E120" s="125" t="n">
        <v>2.835</v>
      </c>
      <c r="F120" s="125" t="n">
        <v>9.9</v>
      </c>
      <c r="G120" s="95" t="inlineStr">
        <is>
          <t>25°C LFP flat plateau</t>
        </is>
      </c>
    </row>
    <row r="121" ht="15" customHeight="1" s="78">
      <c r="A121" s="94" t="inlineStr">
        <is>
          <t>LIFEPO4</t>
        </is>
      </c>
      <c r="B121" s="88" t="n">
        <v>1</v>
      </c>
      <c r="C121" s="88" t="n">
        <v>25</v>
      </c>
      <c r="D121" s="88" t="n">
        <v>5</v>
      </c>
      <c r="E121" s="124" t="n">
        <v>2.66</v>
      </c>
      <c r="F121" s="124" t="n">
        <v>5</v>
      </c>
      <c r="G121" s="88" t="inlineStr">
        <is>
          <t>25°C LFP flat plateau</t>
        </is>
      </c>
    </row>
    <row r="122" ht="15" customHeight="1" s="78">
      <c r="A122" s="94" t="inlineStr">
        <is>
          <t>LIFEPO4</t>
        </is>
      </c>
      <c r="B122" s="95" t="n">
        <v>1</v>
      </c>
      <c r="C122" s="95" t="n">
        <v>25</v>
      </c>
      <c r="D122" s="95" t="n">
        <v>0</v>
      </c>
      <c r="E122" s="125" t="n">
        <v>2.5</v>
      </c>
      <c r="F122" s="125" t="n">
        <v>0</v>
      </c>
      <c r="G122" s="95" t="inlineStr">
        <is>
          <t>25°C LFP flat plateau</t>
        </is>
      </c>
    </row>
    <row r="123" ht="15" customHeight="1" s="78">
      <c r="A123" s="94" t="inlineStr">
        <is>
          <t>LIFEPO4</t>
        </is>
      </c>
      <c r="B123" s="88" t="n">
        <v>2</v>
      </c>
      <c r="C123" s="88" t="n">
        <v>25</v>
      </c>
      <c r="D123" s="88" t="n">
        <v>100</v>
      </c>
      <c r="E123" s="124" t="n">
        <v>3.57</v>
      </c>
      <c r="F123" s="124" t="n">
        <v>99</v>
      </c>
      <c r="G123" s="88" t="inlineStr">
        <is>
          <t>25°C LFP flat plateau</t>
        </is>
      </c>
    </row>
    <row r="124" ht="15" customHeight="1" s="78">
      <c r="A124" s="94" t="inlineStr">
        <is>
          <t>LIFEPO4</t>
        </is>
      </c>
      <c r="B124" s="95" t="n">
        <v>2</v>
      </c>
      <c r="C124" s="95" t="n">
        <v>25</v>
      </c>
      <c r="D124" s="95" t="n">
        <v>90</v>
      </c>
      <c r="E124" s="125" t="n">
        <v>3.403</v>
      </c>
      <c r="F124" s="125" t="n">
        <v>89.09999999999999</v>
      </c>
      <c r="G124" s="95" t="inlineStr">
        <is>
          <t>25°C LFP flat plateau</t>
        </is>
      </c>
    </row>
    <row r="125" ht="15" customHeight="1" s="78">
      <c r="A125" s="94" t="inlineStr">
        <is>
          <t>LIFEPO4</t>
        </is>
      </c>
      <c r="B125" s="88" t="n">
        <v>2</v>
      </c>
      <c r="C125" s="88" t="n">
        <v>25</v>
      </c>
      <c r="D125" s="88" t="n">
        <v>80</v>
      </c>
      <c r="E125" s="124" t="n">
        <v>3.308</v>
      </c>
      <c r="F125" s="124" t="n">
        <v>79.2</v>
      </c>
      <c r="G125" s="88" t="inlineStr">
        <is>
          <t>25°C LFP flat plateau</t>
        </is>
      </c>
    </row>
    <row r="126" ht="15" customHeight="1" s="78">
      <c r="A126" s="94" t="inlineStr">
        <is>
          <t>LIFEPO4</t>
        </is>
      </c>
      <c r="B126" s="95" t="n">
        <v>2</v>
      </c>
      <c r="C126" s="95" t="n">
        <v>25</v>
      </c>
      <c r="D126" s="95" t="n">
        <v>70</v>
      </c>
      <c r="E126" s="125" t="n">
        <v>3.285</v>
      </c>
      <c r="F126" s="125" t="n">
        <v>69.3</v>
      </c>
      <c r="G126" s="95" t="inlineStr">
        <is>
          <t>25°C LFP flat plateau</t>
        </is>
      </c>
    </row>
    <row r="127" ht="15" customHeight="1" s="78">
      <c r="A127" s="94" t="inlineStr">
        <is>
          <t>LIFEPO4</t>
        </is>
      </c>
      <c r="B127" s="88" t="n">
        <v>2</v>
      </c>
      <c r="C127" s="88" t="n">
        <v>25</v>
      </c>
      <c r="D127" s="88" t="n">
        <v>60</v>
      </c>
      <c r="E127" s="124" t="n">
        <v>3.262</v>
      </c>
      <c r="F127" s="124" t="n">
        <v>59.4</v>
      </c>
      <c r="G127" s="88" t="inlineStr">
        <is>
          <t>25°C LFP flat plateau</t>
        </is>
      </c>
    </row>
    <row r="128" ht="15" customHeight="1" s="78">
      <c r="A128" s="94" t="inlineStr">
        <is>
          <t>LIFEPO4</t>
        </is>
      </c>
      <c r="B128" s="95" t="n">
        <v>2</v>
      </c>
      <c r="C128" s="95" t="n">
        <v>25</v>
      </c>
      <c r="D128" s="95" t="n">
        <v>50</v>
      </c>
      <c r="E128" s="125" t="n">
        <v>3.239</v>
      </c>
      <c r="F128" s="125" t="n">
        <v>49.5</v>
      </c>
      <c r="G128" s="95" t="inlineStr">
        <is>
          <t>25°C LFP flat plateau</t>
        </is>
      </c>
    </row>
    <row r="129" ht="15" customHeight="1" s="78">
      <c r="A129" s="94" t="inlineStr">
        <is>
          <t>LIFEPO4</t>
        </is>
      </c>
      <c r="B129" s="88" t="n">
        <v>2</v>
      </c>
      <c r="C129" s="88" t="n">
        <v>25</v>
      </c>
      <c r="D129" s="88" t="n">
        <v>40</v>
      </c>
      <c r="E129" s="124" t="n">
        <v>3.216</v>
      </c>
      <c r="F129" s="124" t="n">
        <v>39.6</v>
      </c>
      <c r="G129" s="88" t="inlineStr">
        <is>
          <t>25°C LFP flat plateau</t>
        </is>
      </c>
    </row>
    <row r="130" ht="15" customHeight="1" s="78">
      <c r="A130" s="94" t="inlineStr">
        <is>
          <t>LIFEPO4</t>
        </is>
      </c>
      <c r="B130" s="95" t="n">
        <v>2</v>
      </c>
      <c r="C130" s="95" t="n">
        <v>25</v>
      </c>
      <c r="D130" s="95" t="n">
        <v>30</v>
      </c>
      <c r="E130" s="125" t="n">
        <v>3.193</v>
      </c>
      <c r="F130" s="125" t="n">
        <v>29.7</v>
      </c>
      <c r="G130" s="95" t="inlineStr">
        <is>
          <t>25°C LFP flat plateau</t>
        </is>
      </c>
    </row>
    <row r="131" ht="15" customHeight="1" s="78">
      <c r="A131" s="94" t="inlineStr">
        <is>
          <t>LIFEPO4</t>
        </is>
      </c>
      <c r="B131" s="88" t="n">
        <v>2</v>
      </c>
      <c r="C131" s="88" t="n">
        <v>25</v>
      </c>
      <c r="D131" s="88" t="n">
        <v>20</v>
      </c>
      <c r="E131" s="124" t="n">
        <v>3.17</v>
      </c>
      <c r="F131" s="124" t="n">
        <v>19.8</v>
      </c>
      <c r="G131" s="88" t="inlineStr">
        <is>
          <t>25°C LFP flat plateau</t>
        </is>
      </c>
    </row>
    <row r="132" ht="15" customHeight="1" s="78">
      <c r="A132" s="94" t="inlineStr">
        <is>
          <t>LIFEPO4</t>
        </is>
      </c>
      <c r="B132" s="95" t="n">
        <v>2</v>
      </c>
      <c r="C132" s="95" t="n">
        <v>25</v>
      </c>
      <c r="D132" s="95" t="n">
        <v>10</v>
      </c>
      <c r="E132" s="125" t="n">
        <v>2.82</v>
      </c>
      <c r="F132" s="125" t="n">
        <v>9.9</v>
      </c>
      <c r="G132" s="95" t="inlineStr">
        <is>
          <t>25°C LFP flat plateau</t>
        </is>
      </c>
    </row>
    <row r="133" ht="15" customHeight="1" s="78">
      <c r="A133" s="94" t="inlineStr">
        <is>
          <t>LIFEPO4</t>
        </is>
      </c>
      <c r="B133" s="88" t="n">
        <v>2</v>
      </c>
      <c r="C133" s="88" t="n">
        <v>25</v>
      </c>
      <c r="D133" s="88" t="n">
        <v>5</v>
      </c>
      <c r="E133" s="124" t="n">
        <v>2.645</v>
      </c>
      <c r="F133" s="124" t="n">
        <v>5</v>
      </c>
      <c r="G133" s="88" t="inlineStr">
        <is>
          <t>25°C LFP flat plateau</t>
        </is>
      </c>
    </row>
    <row r="134" ht="15" customHeight="1" s="78">
      <c r="A134" s="94" t="inlineStr">
        <is>
          <t>LIFEPO4</t>
        </is>
      </c>
      <c r="B134" s="95" t="n">
        <v>2</v>
      </c>
      <c r="C134" s="95" t="n">
        <v>25</v>
      </c>
      <c r="D134" s="95" t="n">
        <v>0</v>
      </c>
      <c r="E134" s="125" t="n">
        <v>2.5</v>
      </c>
      <c r="F134" s="125" t="n">
        <v>0</v>
      </c>
      <c r="G134" s="95" t="inlineStr">
        <is>
          <t>25°C LFP flat plateau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77" min="1" max="1"/>
    <col width="52" customWidth="1" style="77" min="2" max="2"/>
    <col width="8" customWidth="1" style="77" min="3" max="3"/>
    <col width="14" customWidth="1" style="77" min="4" max="4"/>
    <col width="10" customWidth="1" style="77" min="5" max="5"/>
  </cols>
  <sheetData>
    <row r="1" ht="36" customHeight="1" s="78">
      <c r="A1" s="99" t="inlineStr">
        <is>
          <t>🔧  Custom Cell Definition</t>
        </is>
      </c>
      <c r="B1" s="80" t="n"/>
      <c r="C1" s="80" t="n"/>
      <c r="D1" s="80" t="n"/>
      <c r="E1" s="80" t="n"/>
    </row>
    <row r="2" ht="24" customHeight="1" s="78">
      <c r="A2" s="126" t="inlineStr">
        <is>
          <t>Fill yellow (🟨) cells. Calculated cells (🟩) update automatically. Copy Cell_ID to Custom_Pack_Builder when done.</t>
        </is>
      </c>
      <c r="B2" s="80" t="n"/>
      <c r="C2" s="80" t="n"/>
      <c r="D2" s="80" t="n"/>
      <c r="E2" s="80" t="n"/>
    </row>
    <row r="4" ht="21.75" customHeight="1" s="78">
      <c r="A4" s="127" t="inlineStr">
        <is>
          <t>▶  IDENTIFICATION</t>
        </is>
      </c>
      <c r="B4" s="80" t="n"/>
      <c r="C4" s="80" t="n"/>
      <c r="D4" s="80" t="n"/>
      <c r="E4" s="80" t="n"/>
    </row>
    <row r="5" ht="21.75" customHeight="1" s="78">
      <c r="A5" s="128" t="inlineStr">
        <is>
          <t>Cell_ID</t>
        </is>
      </c>
      <c r="B5" s="129" t="inlineStr">
        <is>
          <t>Custom cell identifier (e.g. MY_CELL_001)</t>
        </is>
      </c>
      <c r="C5" s="95" t="n"/>
      <c r="D5" s="130" t="inlineStr">
        <is>
          <t>MY_CELL_001</t>
        </is>
      </c>
    </row>
    <row r="6" ht="21.75" customHeight="1" s="78">
      <c r="A6" s="128" t="inlineStr">
        <is>
          <t>Manufacturer</t>
        </is>
      </c>
      <c r="B6" s="129" t="inlineStr">
        <is>
          <t>Manufacturer or 'Custom'</t>
        </is>
      </c>
      <c r="C6" s="95" t="n"/>
      <c r="D6" s="130" t="inlineStr">
        <is>
          <t>Custom</t>
        </is>
      </c>
    </row>
    <row r="7" ht="21.75" customHeight="1" s="78">
      <c r="A7" s="128" t="inlineStr">
        <is>
          <t>Chemistry_Code</t>
        </is>
      </c>
      <c r="B7" s="129" t="inlineStr">
        <is>
          <t>Select: LIPO / LION / LIFEPO4 / SSS / SOLID</t>
        </is>
      </c>
      <c r="C7" s="95" t="inlineStr">
        <is>
          <t>C</t>
        </is>
      </c>
      <c r="D7" s="130" t="inlineStr">
        <is>
          <t>LION</t>
        </is>
      </c>
    </row>
    <row r="8" ht="21.75" customHeight="1" s="78">
      <c r="A8" s="128" t="inlineStr">
        <is>
          <t>Cell_Format</t>
        </is>
      </c>
      <c r="B8" s="129" t="inlineStr">
        <is>
          <t>Physical format (Pouch / 18650 / 21700 / Prismatic)</t>
        </is>
      </c>
      <c r="C8" s="95" t="n"/>
      <c r="D8" s="130" t="inlineStr">
        <is>
          <t>Pouch</t>
        </is>
      </c>
    </row>
    <row r="9" ht="21.75" customHeight="1" s="78">
      <c r="A9" s="127" t="inlineStr">
        <is>
          <t>▶  ELECTRICAL PROPERTIES</t>
        </is>
      </c>
      <c r="B9" s="80" t="n"/>
      <c r="C9" s="80" t="n"/>
      <c r="D9" s="80" t="n"/>
      <c r="E9" s="80" t="n"/>
    </row>
    <row r="10" ht="21.75" customHeight="1" s="78">
      <c r="A10" s="128" t="inlineStr">
        <is>
          <t>Nominal_Voltage_V</t>
        </is>
      </c>
      <c r="B10" s="129" t="inlineStr">
        <is>
          <t>Nominal cell voltage (V)</t>
        </is>
      </c>
      <c r="C10" s="95" t="inlineStr">
        <is>
          <t>V</t>
        </is>
      </c>
      <c r="D10" s="130" t="n">
        <v>3.65</v>
      </c>
    </row>
    <row r="11" ht="21.75" customHeight="1" s="78">
      <c r="A11" s="128" t="inlineStr">
        <is>
          <t>Max_Charge_Voltage_V</t>
        </is>
      </c>
      <c r="B11" s="129" t="inlineStr">
        <is>
          <t>Maximum charge voltage (V)</t>
        </is>
      </c>
      <c r="C11" s="95" t="inlineStr">
        <is>
          <t>V</t>
        </is>
      </c>
      <c r="D11" s="130" t="n">
        <v>4.2</v>
      </c>
    </row>
    <row r="12" ht="21.75" customHeight="1" s="78">
      <c r="A12" s="128" t="inlineStr">
        <is>
          <t>Cutoff_Voltage_V</t>
        </is>
      </c>
      <c r="B12" s="129" t="inlineStr">
        <is>
          <t>Discharge cutoff voltage (V)</t>
        </is>
      </c>
      <c r="C12" s="95" t="inlineStr">
        <is>
          <t>V</t>
        </is>
      </c>
      <c r="D12" s="130" t="n">
        <v>2.5</v>
      </c>
    </row>
    <row r="13" ht="21.75" customHeight="1" s="78">
      <c r="A13" s="128" t="inlineStr">
        <is>
          <t>Nominal_Capacity_Ah</t>
        </is>
      </c>
      <c r="B13" s="129" t="inlineStr">
        <is>
          <t>Nominal capacity in amp-hours</t>
        </is>
      </c>
      <c r="C13" s="95" t="inlineStr">
        <is>
          <t>Ah</t>
        </is>
      </c>
      <c r="D13" s="130" t="n">
        <v>5</v>
      </c>
    </row>
    <row r="14" ht="21.75" customHeight="1" s="78">
      <c r="A14" s="128" t="inlineStr">
        <is>
          <t>Energy_Wh</t>
        </is>
      </c>
      <c r="B14" s="129" t="inlineStr">
        <is>
          <t>Cell energy (Wh) = Capacity × Voltage</t>
        </is>
      </c>
      <c r="C14" s="95" t="inlineStr">
        <is>
          <t>Wh</t>
        </is>
      </c>
      <c r="D14" s="93">
        <f>D13*D10</f>
        <v/>
      </c>
    </row>
    <row r="15" ht="21.75" customHeight="1" s="78">
      <c r="A15" s="128" t="inlineStr">
        <is>
          <t>Max_Cont_Discharge_A</t>
        </is>
      </c>
      <c r="B15" s="129" t="inlineStr">
        <is>
          <t>Maximum continuous discharge current (A)</t>
        </is>
      </c>
      <c r="C15" s="95" t="inlineStr">
        <is>
          <t>A</t>
        </is>
      </c>
      <c r="D15" s="130" t="n">
        <v>45</v>
      </c>
    </row>
    <row r="16" ht="21.75" customHeight="1" s="78">
      <c r="A16" s="128" t="inlineStr">
        <is>
          <t>Max_Pulse_Discharge_A</t>
        </is>
      </c>
      <c r="B16" s="129" t="inlineStr">
        <is>
          <t>Peak pulse discharge current (A)</t>
        </is>
      </c>
      <c r="C16" s="95" t="inlineStr">
        <is>
          <t>A</t>
        </is>
      </c>
      <c r="D16" s="130" t="n">
        <v>90</v>
      </c>
    </row>
    <row r="17" ht="21.75" customHeight="1" s="78">
      <c r="A17" s="128" t="inlineStr">
        <is>
          <t>Max_Charge_Rate_C</t>
        </is>
      </c>
      <c r="B17" s="129" t="inlineStr">
        <is>
          <t>Maximum charge rate (C)</t>
        </is>
      </c>
      <c r="C17" s="95" t="inlineStr">
        <is>
          <t>C</t>
        </is>
      </c>
      <c r="D17" s="130" t="n">
        <v>1</v>
      </c>
    </row>
    <row r="18" ht="21.75" customHeight="1" s="78">
      <c r="A18" s="128" t="inlineStr">
        <is>
          <t>Internal_Resistance_mOhm</t>
        </is>
      </c>
      <c r="B18" s="129" t="inlineStr">
        <is>
          <t>Cell internal resistance (mΩ)</t>
        </is>
      </c>
      <c r="C18" s="95" t="inlineStr">
        <is>
          <t>mΩ</t>
        </is>
      </c>
      <c r="D18" s="130" t="n">
        <v>14</v>
      </c>
    </row>
    <row r="19" ht="21.75" customHeight="1" s="78">
      <c r="A19" s="127" t="inlineStr">
        <is>
          <t>▶  PHYSICAL PROPERTIES</t>
        </is>
      </c>
      <c r="B19" s="80" t="n"/>
      <c r="C19" s="80" t="n"/>
      <c r="D19" s="80" t="n"/>
      <c r="E19" s="80" t="n"/>
    </row>
    <row r="20" ht="21.75" customHeight="1" s="78">
      <c r="A20" s="128" t="inlineStr">
        <is>
          <t>Weight_g</t>
        </is>
      </c>
      <c r="B20" s="129" t="inlineStr">
        <is>
          <t>Cell weight in grams</t>
        </is>
      </c>
      <c r="C20" s="95" t="inlineStr">
        <is>
          <t>g</t>
        </is>
      </c>
      <c r="D20" s="130" t="n">
        <v>70</v>
      </c>
    </row>
    <row r="21" ht="21.75" customHeight="1" s="78">
      <c r="A21" s="128" t="inlineStr">
        <is>
          <t>Diameter_mm</t>
        </is>
      </c>
      <c r="B21" s="129" t="inlineStr">
        <is>
          <t>Cell diameter (mm) — cylinders</t>
        </is>
      </c>
      <c r="C21" s="95" t="inlineStr">
        <is>
          <t>mm</t>
        </is>
      </c>
      <c r="D21" s="130" t="n">
        <v>21</v>
      </c>
    </row>
    <row r="22" ht="21.75" customHeight="1" s="78">
      <c r="A22" s="128" t="inlineStr">
        <is>
          <t>Height_mm</t>
        </is>
      </c>
      <c r="B22" s="129" t="inlineStr">
        <is>
          <t>Cell height/length (mm)</t>
        </is>
      </c>
      <c r="C22" s="95" t="inlineStr">
        <is>
          <t>mm</t>
        </is>
      </c>
      <c r="D22" s="130" t="n">
        <v>70</v>
      </c>
    </row>
    <row r="23" ht="21.75" customHeight="1" s="78">
      <c r="A23" s="128" t="inlineStr">
        <is>
          <t>Volume_cm3</t>
        </is>
      </c>
      <c r="B23" s="129" t="inlineStr">
        <is>
          <t>Cell volume (cm³) — calc or enter</t>
        </is>
      </c>
      <c r="C23" s="95" t="inlineStr">
        <is>
          <t>cm³</t>
        </is>
      </c>
      <c r="D23" s="93">
        <f>PI()*(D21/2/10)^2*(D22/10)</f>
        <v/>
      </c>
    </row>
    <row r="24" ht="21.75" customHeight="1" s="78">
      <c r="A24" s="128" t="inlineStr">
        <is>
          <t>Specific_Energy_Wh_kg</t>
        </is>
      </c>
      <c r="B24" s="129" t="inlineStr">
        <is>
          <t>Wh/kg = Energy / Weight × 1000</t>
        </is>
      </c>
      <c r="C24" s="95" t="inlineStr">
        <is>
          <t>Wh</t>
        </is>
      </c>
      <c r="D24" s="93">
        <f>D14/D20*1000</f>
        <v/>
      </c>
    </row>
    <row r="25" ht="21.75" customHeight="1" s="78">
      <c r="A25" s="128" t="inlineStr">
        <is>
          <t>Energy_Density_Wh_L</t>
        </is>
      </c>
      <c r="B25" s="129" t="inlineStr">
        <is>
          <t>Wh/L = Energy / Volume</t>
        </is>
      </c>
      <c r="C25" s="95" t="inlineStr">
        <is>
          <t>Wh</t>
        </is>
      </c>
      <c r="D25" s="93">
        <f>IF(D23=0,"N/A",D14/D23*1000)</f>
        <v/>
      </c>
    </row>
    <row r="26" ht="21.75" customHeight="1" s="78">
      <c r="A26" s="127" t="inlineStr">
        <is>
          <t>▶  LIFETIME &amp; THERMAL</t>
        </is>
      </c>
      <c r="B26" s="80" t="n"/>
      <c r="C26" s="80" t="n"/>
      <c r="D26" s="80" t="n"/>
      <c r="E26" s="80" t="n"/>
    </row>
    <row r="27" ht="21.75" customHeight="1" s="78">
      <c r="A27" s="128" t="inlineStr">
        <is>
          <t>Cycle_Life_cycles</t>
        </is>
      </c>
      <c r="B27" s="129" t="inlineStr">
        <is>
          <t>Rated cycle life (cycles to 80% cap)</t>
        </is>
      </c>
      <c r="C27" s="95" t="inlineStr">
        <is>
          <t>cycles</t>
        </is>
      </c>
      <c r="D27" s="130" t="n">
        <v>800</v>
      </c>
    </row>
    <row r="28" ht="21.75" customHeight="1" s="78">
      <c r="A28" s="128" t="inlineStr">
        <is>
          <t>Calendar_Life_years</t>
        </is>
      </c>
      <c r="B28" s="129" t="inlineStr">
        <is>
          <t>Estimated calendar life (years)</t>
        </is>
      </c>
      <c r="C28" s="95" t="inlineStr">
        <is>
          <t>yr</t>
        </is>
      </c>
      <c r="D28" s="130" t="n">
        <v>5</v>
      </c>
    </row>
    <row r="29" ht="21.75" customHeight="1" s="78">
      <c r="A29" s="128" t="inlineStr">
        <is>
          <t>Operating_Temp_Min_degC</t>
        </is>
      </c>
      <c r="B29" s="129" t="inlineStr">
        <is>
          <t>Minimum operating temperature (°C)</t>
        </is>
      </c>
      <c r="C29" s="95" t="inlineStr">
        <is>
          <t>C</t>
        </is>
      </c>
      <c r="D29" s="130" t="n">
        <v>-20</v>
      </c>
    </row>
    <row r="30" ht="21.75" customHeight="1" s="78">
      <c r="A30" s="128" t="inlineStr">
        <is>
          <t>Operating_Temp_Max_degC</t>
        </is>
      </c>
      <c r="B30" s="129" t="inlineStr">
        <is>
          <t>Maximum operating temperature (°C)</t>
        </is>
      </c>
      <c r="C30" s="95" t="inlineStr">
        <is>
          <t>C</t>
        </is>
      </c>
      <c r="D30" s="130" t="n">
        <v>60</v>
      </c>
    </row>
    <row r="31" ht="21.75" customHeight="1" s="78">
      <c r="A31" s="128" t="inlineStr">
        <is>
          <t>Self_Discharge_pct_month</t>
        </is>
      </c>
      <c r="B31" s="129" t="inlineStr">
        <is>
          <t>Self-discharge rate (%/month)</t>
        </is>
      </c>
      <c r="C31" s="95" t="inlineStr">
        <is>
          <t>%</t>
        </is>
      </c>
      <c r="D31" s="130" t="n">
        <v>2</v>
      </c>
    </row>
    <row r="32" ht="21.75" customHeight="1" s="78">
      <c r="A32" s="128" t="inlineStr">
        <is>
          <t>Charge_Efficiency_pct</t>
        </is>
      </c>
      <c r="B32" s="129" t="inlineStr">
        <is>
          <t>Charge efficiency (%)</t>
        </is>
      </c>
      <c r="C32" s="95" t="inlineStr">
        <is>
          <t>%</t>
        </is>
      </c>
      <c r="D32" s="130" t="n">
        <v>99.5</v>
      </c>
    </row>
    <row r="33" ht="21.75" customHeight="1" s="78">
      <c r="A33" s="127" t="inlineStr">
        <is>
          <t>▶  DISCHARGE CURVE (3 reference points)</t>
        </is>
      </c>
      <c r="B33" s="80" t="n"/>
      <c r="C33" s="80" t="n"/>
      <c r="D33" s="80" t="n"/>
      <c r="E33" s="80" t="n"/>
    </row>
    <row r="34" ht="21.75" customHeight="1" s="78">
      <c r="A34" s="128" t="inlineStr">
        <is>
          <t>V_at_100pct_SoC</t>
        </is>
      </c>
      <c r="B34" s="129" t="inlineStr">
        <is>
          <t>Voltage at 100% SoC at 1C (V)</t>
        </is>
      </c>
      <c r="C34" s="95" t="inlineStr">
        <is>
          <t>C</t>
        </is>
      </c>
      <c r="D34" s="130" t="n">
        <v>4.1</v>
      </c>
    </row>
    <row r="35" ht="21.75" customHeight="1" s="78">
      <c r="A35" s="128" t="inlineStr">
        <is>
          <t>V_at_50pct_SoC</t>
        </is>
      </c>
      <c r="B35" s="129" t="inlineStr">
        <is>
          <t>Voltage at  50% SoC at 1C (V)</t>
        </is>
      </c>
      <c r="C35" s="95" t="inlineStr">
        <is>
          <t>C</t>
        </is>
      </c>
      <c r="D35" s="130" t="n">
        <v>3.7</v>
      </c>
    </row>
    <row r="36" ht="21.75" customHeight="1" s="78">
      <c r="A36" s="128" t="inlineStr">
        <is>
          <t>V_at_10pct_SoC</t>
        </is>
      </c>
      <c r="B36" s="129" t="inlineStr">
        <is>
          <t>Voltage at  10% SoC at 1C (V)</t>
        </is>
      </c>
      <c r="C36" s="95" t="inlineStr">
        <is>
          <t>C</t>
        </is>
      </c>
      <c r="D36" s="130" t="n">
        <v>3.2</v>
      </c>
    </row>
    <row r="37" ht="21.75" customHeight="1" s="78">
      <c r="A37" s="128" t="inlineStr">
        <is>
          <t>Peukert_Exponent</t>
        </is>
      </c>
      <c r="B37" s="129" t="inlineStr">
        <is>
          <t>Peukert exponent k (1.0–1.3; LiPo≈1.05)</t>
        </is>
      </c>
      <c r="C37" s="95" t="n"/>
      <c r="D37" s="130" t="n">
        <v>1.05</v>
      </c>
    </row>
  </sheetData>
  <mergeCells count="7">
    <mergeCell ref="A4:E4"/>
    <mergeCell ref="A26:E26"/>
    <mergeCell ref="A2:E2"/>
    <mergeCell ref="A33:E33"/>
    <mergeCell ref="A19:E19"/>
    <mergeCell ref="A1:E1"/>
    <mergeCell ref="A9:E9"/>
  </mergeCells>
  <dataValidations count="2">
    <dataValidation sqref="D7" showDropDown="0" showInputMessage="0" showErrorMessage="0" allowBlank="1" type="list" errorStyle="stop" operator="between">
      <formula1>"LIPO,LION,LION21,LIFEPO4,LITO,SSS,SOLID,NIMH,LIHV"</formula1>
      <formula2>0</formula2>
    </dataValidation>
    <dataValidation sqref="D8" showDropDown="0" showInputMessage="0" showErrorMessage="0" allowBlank="1" type="list" errorStyle="stop" operator="between">
      <formula1>"Pouch,18650 Cyl,21700 Cyl,26650 Cyl,Prismatic,Other"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77" min="1" max="1"/>
    <col width="56" customWidth="1" style="77" min="2" max="2"/>
    <col width="6" customWidth="1" style="77" min="3" max="3"/>
    <col width="14" customWidth="1" style="77" min="4" max="4"/>
    <col width="10" customWidth="1" style="77" min="5" max="5"/>
  </cols>
  <sheetData>
    <row r="1" ht="36" customHeight="1" s="78">
      <c r="A1" s="99" t="inlineStr">
        <is>
          <t>🛠️  Custom Pack Builder</t>
        </is>
      </c>
      <c r="B1" s="80" t="n"/>
      <c r="C1" s="80" t="n"/>
      <c r="D1" s="80" t="n"/>
      <c r="E1" s="80" t="n"/>
    </row>
    <row r="2" ht="36" customHeight="1" s="78">
      <c r="A2" s="131" t="inlineStr">
        <is>
          <t>Step 1: Enter Cell_ID from Cell_Catalog or type 'CUSTOM' to use Custom_Cell values.  Step 2: Enter Series × Parallel count.  Step 3: Read calculated pack specs in green cells.</t>
        </is>
      </c>
      <c r="B2" s="80" t="n"/>
      <c r="C2" s="80" t="n"/>
      <c r="D2" s="80" t="n"/>
      <c r="E2" s="80" t="n"/>
    </row>
    <row r="4" ht="15" customHeight="1" s="78">
      <c r="A4" s="127" t="inlineStr">
        <is>
          <t>▶  STEP 1 — Cell Selection</t>
        </is>
      </c>
      <c r="B4" s="80" t="n"/>
      <c r="C4" s="80" t="n"/>
      <c r="D4" s="80" t="n"/>
      <c r="E4" s="80" t="n"/>
    </row>
    <row r="5" ht="21.75" customHeight="1" s="78">
      <c r="A5" s="128" t="inlineStr">
        <is>
          <t>Cell_Source</t>
        </is>
      </c>
      <c r="B5" s="129" t="inlineStr">
        <is>
          <t>Type of source cell</t>
        </is>
      </c>
      <c r="D5" s="130" t="inlineStr">
        <is>
          <t>CATALOG</t>
        </is>
      </c>
    </row>
    <row r="6" ht="21.75" customHeight="1" s="78">
      <c r="A6" s="128" t="inlineStr">
        <is>
          <t>Cell_ID_Ref</t>
        </is>
      </c>
      <c r="B6" s="129" t="inlineStr">
        <is>
          <t>Cell_ID from Cell_Catalog (or 'CUSTOM')</t>
        </is>
      </c>
      <c r="D6" s="130" t="inlineStr">
        <is>
          <t>MOLICEL_P45B</t>
        </is>
      </c>
    </row>
    <row r="7" ht="21.75" customHeight="1" s="78">
      <c r="A7" s="128" t="inlineStr">
        <is>
          <t>Cell_V_Nom</t>
        </is>
      </c>
      <c r="B7" s="129" t="inlineStr">
        <is>
          <t>Nominal voltage per cell (V)  — copy from catalog or Custom_Cell</t>
        </is>
      </c>
      <c r="D7" s="130" t="n">
        <v>3.65</v>
      </c>
    </row>
    <row r="8" ht="21.75" customHeight="1" s="78">
      <c r="A8" s="128" t="inlineStr">
        <is>
          <t>Cell_V_Max</t>
        </is>
      </c>
      <c r="B8" s="129" t="inlineStr">
        <is>
          <t>Max charge voltage per cell (V)</t>
        </is>
      </c>
      <c r="D8" s="130" t="n">
        <v>4.2</v>
      </c>
    </row>
    <row r="9" ht="21.75" customHeight="1" s="78">
      <c r="A9" s="128" t="inlineStr">
        <is>
          <t>Cell_V_Cut</t>
        </is>
      </c>
      <c r="B9" s="129" t="inlineStr">
        <is>
          <t>Cutoff voltage per cell (V)</t>
        </is>
      </c>
      <c r="D9" s="130" t="n">
        <v>2.5</v>
      </c>
    </row>
    <row r="10" ht="21.75" customHeight="1" s="78">
      <c r="A10" s="128" t="inlineStr">
        <is>
          <t>Cell_Capacity_Ah</t>
        </is>
      </c>
      <c r="B10" s="129" t="inlineStr">
        <is>
          <t>Nominal capacity per cell (Ah)</t>
        </is>
      </c>
      <c r="D10" s="130" t="n">
        <v>4.5</v>
      </c>
    </row>
    <row r="11" ht="21.75" customHeight="1" s="78">
      <c r="A11" s="128" t="inlineStr">
        <is>
          <t>Cell_Weight_g</t>
        </is>
      </c>
      <c r="B11" s="129" t="inlineStr">
        <is>
          <t>Weight per cell (g)</t>
        </is>
      </c>
      <c r="D11" s="130" t="n">
        <v>70</v>
      </c>
    </row>
    <row r="12" ht="21.75" customHeight="1" s="78">
      <c r="A12" s="128" t="inlineStr">
        <is>
          <t>Cell_Volume_cm3</t>
        </is>
      </c>
      <c r="B12" s="129" t="inlineStr">
        <is>
          <t>Volume per cell (cm³)</t>
        </is>
      </c>
      <c r="D12" s="130" t="n">
        <v>34</v>
      </c>
    </row>
    <row r="13" ht="21.75" customHeight="1" s="78">
      <c r="A13" s="128" t="inlineStr">
        <is>
          <t>Cell_I_Cont_A</t>
        </is>
      </c>
      <c r="B13" s="129" t="inlineStr">
        <is>
          <t>Max continuous discharge current per cell (A)</t>
        </is>
      </c>
      <c r="D13" s="130" t="n">
        <v>45</v>
      </c>
    </row>
    <row r="14" ht="21.75" customHeight="1" s="78">
      <c r="A14" s="128" t="inlineStr">
        <is>
          <t>Cell_I_Pulse_A</t>
        </is>
      </c>
      <c r="B14" s="129" t="inlineStr">
        <is>
          <t>Max pulse discharge current per cell (A)</t>
        </is>
      </c>
      <c r="D14" s="130" t="n">
        <v>90</v>
      </c>
    </row>
    <row r="15" ht="21.75" customHeight="1" s="78">
      <c r="A15" s="128" t="inlineStr">
        <is>
          <t>Cell_IR_mOhm</t>
        </is>
      </c>
      <c r="B15" s="129" t="inlineStr">
        <is>
          <t>Internal resistance per cell (mΩ)</t>
        </is>
      </c>
      <c r="D15" s="130" t="n">
        <v>14</v>
      </c>
    </row>
    <row r="16" ht="21.75" customHeight="1" s="78">
      <c r="A16" s="128" t="inlineStr">
        <is>
          <t>Cell_Cycles</t>
        </is>
      </c>
      <c r="B16" s="129" t="inlineStr">
        <is>
          <t>Cell cycle life (cycles)</t>
        </is>
      </c>
      <c r="D16" s="130" t="n">
        <v>800</v>
      </c>
    </row>
    <row r="18" ht="15" customHeight="1" s="78">
      <c r="A18" s="127" t="inlineStr">
        <is>
          <t>▶  STEP 2 — Series × Parallel Configuration</t>
        </is>
      </c>
      <c r="B18" s="80" t="n"/>
      <c r="C18" s="80" t="n"/>
      <c r="D18" s="80" t="n"/>
      <c r="E18" s="80" t="n"/>
    </row>
    <row r="19" ht="21.75" customHeight="1" s="78">
      <c r="A19" s="128" t="inlineStr">
        <is>
          <t>Cells_in_Series</t>
        </is>
      </c>
      <c r="B19" s="129" t="inlineStr">
        <is>
          <t>Number of cells in series (S)</t>
        </is>
      </c>
      <c r="D19" s="130" t="n">
        <v>6</v>
      </c>
    </row>
    <row r="20" ht="21.75" customHeight="1" s="78">
      <c r="A20" s="128" t="inlineStr">
        <is>
          <t>Cells_in_Parallel</t>
        </is>
      </c>
      <c r="B20" s="129" t="inlineStr">
        <is>
          <t>Number of cells in parallel (P)</t>
        </is>
      </c>
      <c r="D20" s="130" t="n">
        <v>2</v>
      </c>
    </row>
    <row r="21" ht="21.75" customHeight="1" s="78">
      <c r="A21" s="128" t="inlineStr">
        <is>
          <t>Pack_Overhead_pct</t>
        </is>
      </c>
      <c r="B21" s="129" t="inlineStr">
        <is>
          <t>Weight overhead for packaging, BMS, wiring (%)</t>
        </is>
      </c>
      <c r="D21" s="130" t="n">
        <v>12</v>
      </c>
    </row>
    <row r="22" ht="21.75" customHeight="1" s="78">
      <c r="A22" s="128" t="inlineStr">
        <is>
          <t>Pack_Volume_factor</t>
        </is>
      </c>
      <c r="B22" s="129" t="inlineStr">
        <is>
          <t>Volume packing factor (pack vol / cell vol)</t>
        </is>
      </c>
      <c r="D22" s="130" t="n">
        <v>1.3</v>
      </c>
    </row>
    <row r="24" ht="15" customHeight="1" s="78">
      <c r="A24" s="132" t="inlineStr">
        <is>
          <t>▶  STEP 3 — Calculated Pack Specifications</t>
        </is>
      </c>
      <c r="B24" s="80" t="n"/>
      <c r="C24" s="80" t="n"/>
      <c r="D24" s="80" t="n"/>
      <c r="E24" s="80" t="n"/>
    </row>
    <row r="25" ht="21.75" customHeight="1" s="78">
      <c r="A25" s="128" t="inlineStr">
        <is>
          <t>Total_Cells</t>
        </is>
      </c>
      <c r="B25" s="133" t="inlineStr">
        <is>
          <t>Total cell count = S × P</t>
        </is>
      </c>
      <c r="D25" s="93">
        <f>D19*D20</f>
        <v/>
      </c>
    </row>
    <row r="26" ht="21.75" customHeight="1" s="78">
      <c r="A26" s="128" t="inlineStr">
        <is>
          <t>Pack_Voltage_Nom_V</t>
        </is>
      </c>
      <c r="B26" s="133" t="inlineStr">
        <is>
          <t>Nominal pack voltage = S × V_nom</t>
        </is>
      </c>
      <c r="D26" s="93">
        <f>D19*D7</f>
        <v/>
      </c>
    </row>
    <row r="27" ht="21.75" customHeight="1" s="78">
      <c r="A27" s="128" t="inlineStr">
        <is>
          <t>Pack_Voltage_Max_V</t>
        </is>
      </c>
      <c r="B27" s="133" t="inlineStr">
        <is>
          <t>Maximum pack voltage = S × V_max</t>
        </is>
      </c>
      <c r="D27" s="93">
        <f>D19*D8</f>
        <v/>
      </c>
    </row>
    <row r="28" ht="21.75" customHeight="1" s="78">
      <c r="A28" s="128" t="inlineStr">
        <is>
          <t>Pack_Voltage_Cut_V</t>
        </is>
      </c>
      <c r="B28" s="133" t="inlineStr">
        <is>
          <t>Cutoff pack voltage = S × V_cut</t>
        </is>
      </c>
      <c r="D28" s="93">
        <f>D19*D9</f>
        <v/>
      </c>
    </row>
    <row r="29" ht="21.75" customHeight="1" s="78">
      <c r="A29" s="128" t="inlineStr">
        <is>
          <t>Pack_Capacity_Ah</t>
        </is>
      </c>
      <c r="B29" s="133" t="inlineStr">
        <is>
          <t>Pack capacity = P × Cell_Capacity</t>
        </is>
      </c>
      <c r="D29" s="93">
        <f>D20*D10</f>
        <v/>
      </c>
    </row>
    <row r="30" ht="21.75" customHeight="1" s="78">
      <c r="A30" s="128" t="inlineStr">
        <is>
          <t>Pack_Energy_Wh</t>
        </is>
      </c>
      <c r="B30" s="133" t="inlineStr">
        <is>
          <t>Pack energy = V_nom × Capacity</t>
        </is>
      </c>
      <c r="D30" s="93">
        <f>D26*D29</f>
        <v/>
      </c>
    </row>
    <row r="31" ht="21.75" customHeight="1" s="78">
      <c r="A31" s="128" t="inlineStr">
        <is>
          <t>Cell_Count_Total</t>
        </is>
      </c>
      <c r="B31" s="133" t="inlineStr">
        <is>
          <t>Sanity check cells</t>
        </is>
      </c>
      <c r="D31" s="93">
        <f>D19*D20</f>
        <v/>
      </c>
    </row>
    <row r="32" ht="21.75" customHeight="1" s="78">
      <c r="A32" s="128" t="inlineStr">
        <is>
          <t>Pack_Weight_Cells_g</t>
        </is>
      </c>
      <c r="B32" s="133" t="inlineStr">
        <is>
          <t>Cell weight sum = Total_cells × Cell_weight</t>
        </is>
      </c>
      <c r="D32" s="93">
        <f>D19*D20*D11</f>
        <v/>
      </c>
    </row>
    <row r="33" ht="21.75" customHeight="1" s="78">
      <c r="A33" s="128" t="inlineStr">
        <is>
          <t>Pack_Weight_Total_g</t>
        </is>
      </c>
      <c r="B33" s="133" t="inlineStr">
        <is>
          <t>Total pack weight incl. overhead</t>
        </is>
      </c>
      <c r="D33" s="93">
        <f>D32*(1+D21/100)</f>
        <v/>
      </c>
    </row>
    <row r="34" ht="21.75" customHeight="1" s="78">
      <c r="A34" s="128" t="inlineStr">
        <is>
          <t>Pack_Specific_Energy</t>
        </is>
      </c>
      <c r="B34" s="133" t="inlineStr">
        <is>
          <t>Wh/kg = Pack_Energy / Pack_Weight × 1000</t>
        </is>
      </c>
      <c r="D34" s="93">
        <f>D30/D33*1000</f>
        <v/>
      </c>
    </row>
    <row r="35" ht="21.75" customHeight="1" s="78">
      <c r="A35" s="128" t="inlineStr">
        <is>
          <t>Pack_Volume_cm3</t>
        </is>
      </c>
      <c r="B35" s="133" t="inlineStr">
        <is>
          <t>Estimated pack volume (cm³)</t>
        </is>
      </c>
      <c r="D35" s="93">
        <f>D19*D20*D12*D22</f>
        <v/>
      </c>
    </row>
    <row r="36" ht="21.75" customHeight="1" s="78">
      <c r="A36" s="128" t="inlineStr">
        <is>
          <t>Pack_Energy_Density</t>
        </is>
      </c>
      <c r="B36" s="133" t="inlineStr">
        <is>
          <t>Wh/L = Pack_Energy / Volume</t>
        </is>
      </c>
      <c r="D36" s="93">
        <f>IF(D35=0,"N/A",D30/D35*1000)</f>
        <v/>
      </c>
    </row>
    <row r="37" ht="21.75" customHeight="1" s="78">
      <c r="A37" s="128" t="inlineStr">
        <is>
          <t>Pack_Max_Cont_A</t>
        </is>
      </c>
      <c r="B37" s="133" t="inlineStr">
        <is>
          <t>Max continuous discharge = P × Cell_I_cont</t>
        </is>
      </c>
      <c r="D37" s="93">
        <f>D20*D13</f>
        <v/>
      </c>
    </row>
    <row r="38" ht="21.75" customHeight="1" s="78">
      <c r="A38" s="128" t="inlineStr">
        <is>
          <t>Pack_Max_Cont_W</t>
        </is>
      </c>
      <c r="B38" s="133" t="inlineStr">
        <is>
          <t>Max continuous power = Pack_V × Pack_I</t>
        </is>
      </c>
      <c r="D38" s="93">
        <f>D26*D37</f>
        <v/>
      </c>
    </row>
    <row r="39" ht="21.75" customHeight="1" s="78">
      <c r="A39" s="128" t="inlineStr">
        <is>
          <t>Pack_C_Rate_Cont</t>
        </is>
      </c>
      <c r="B39" s="133" t="inlineStr">
        <is>
          <t>C-rate continuous = I_cont / Capacity</t>
        </is>
      </c>
      <c r="D39" s="93">
        <f>IF(D29=0,"N/A",D37/D29)</f>
        <v/>
      </c>
    </row>
    <row r="40" ht="21.75" customHeight="1" s="78">
      <c r="A40" s="128" t="inlineStr">
        <is>
          <t>Pack_Internal_R_mOhm</t>
        </is>
      </c>
      <c r="B40" s="133" t="inlineStr">
        <is>
          <t>Pack internal resistance (mΩ) = IR_cell × S / P</t>
        </is>
      </c>
      <c r="D40" s="93">
        <f>D15*D19/D20</f>
        <v/>
      </c>
    </row>
    <row r="41" ht="21.75" customHeight="1" s="78">
      <c r="A41" s="128" t="inlineStr">
        <is>
          <t>Pack_Max_Pulse_A</t>
        </is>
      </c>
      <c r="B41" s="133" t="inlineStr">
        <is>
          <t>Max pulse discharge = P × Cell_I_pulse</t>
        </is>
      </c>
      <c r="D41" s="93">
        <f>D20*D14</f>
        <v/>
      </c>
    </row>
    <row r="42" ht="21.75" customHeight="1" s="78">
      <c r="A42" s="128" t="inlineStr">
        <is>
          <t>Pack_Cycle_Life</t>
        </is>
      </c>
      <c r="B42" s="133" t="inlineStr">
        <is>
          <t>Estimated cycle life (same as cell)</t>
        </is>
      </c>
      <c r="D42" s="93">
        <f>D16</f>
        <v/>
      </c>
    </row>
    <row r="44" ht="21.75" customHeight="1" s="78">
      <c r="A44" s="134" t="inlineStr">
        <is>
          <t>⚠️  Note: Green cells contain formulas — do not overwrite.  Adjust Pack_Overhead_pct and Pack_Volume_factor for your specific enclosure design.</t>
        </is>
      </c>
      <c r="B44" s="80" t="n"/>
      <c r="C44" s="80" t="n"/>
      <c r="D44" s="80" t="n"/>
      <c r="E44" s="80" t="n"/>
    </row>
  </sheetData>
  <mergeCells count="6">
    <mergeCell ref="A4:E4"/>
    <mergeCell ref="A24:E24"/>
    <mergeCell ref="A2:E2"/>
    <mergeCell ref="A1:E1"/>
    <mergeCell ref="A44:E44"/>
    <mergeCell ref="A18:E18"/>
  </mergeCells>
  <dataValidations count="1">
    <dataValidation sqref="D5" showDropDown="0" showInputMessage="0" showErrorMessage="0" allowBlank="1" type="list" errorStyle="stop" operator="between">
      <formula1>"CATALOG,CUSTOM"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P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77" min="1" max="1"/>
    <col width="14" customWidth="1" style="77" min="2" max="3"/>
    <col width="24" customWidth="1" style="77" min="4" max="4"/>
    <col width="10" customWidth="1" style="77" min="5" max="5"/>
    <col width="9" customWidth="1" style="77" min="6" max="7"/>
    <col width="10" customWidth="1" style="77" min="8" max="10"/>
    <col width="9" customWidth="1" style="77" min="11" max="14"/>
    <col width="42" customWidth="1" style="77" min="15" max="15"/>
    <col width="7" customWidth="1" style="77" min="16" max="16"/>
  </cols>
  <sheetData>
    <row r="1" ht="36" customHeight="1" s="78">
      <c r="A1" s="99" t="inlineStr">
        <is>
          <t>⚙️  Equipment Database — UAV Component Library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</row>
    <row r="2" ht="43.5" customHeight="1" s="78">
      <c r="A2" s="100" t="inlineStr">
        <is>
          <t>Equip_ID</t>
        </is>
      </c>
      <c r="B2" s="100" t="inlineStr">
        <is>
          <t>Category</t>
        </is>
      </c>
      <c r="C2" s="100" t="inlineStr">
        <is>
          <t>Manufacturer</t>
        </is>
      </c>
      <c r="D2" s="100" t="inlineStr">
        <is>
          <t>Model / Name</t>
        </is>
      </c>
      <c r="E2" s="100" t="inlineStr">
        <is>
          <t>Nom_Voltage_V</t>
        </is>
      </c>
      <c r="F2" s="100" t="inlineStr">
        <is>
          <t>Nom_Current_A</t>
        </is>
      </c>
      <c r="G2" s="100" t="inlineStr">
        <is>
          <t>Idle_Power_W</t>
        </is>
      </c>
      <c r="H2" s="100" t="inlineStr">
        <is>
          <t>Hover_Power_W</t>
        </is>
      </c>
      <c r="I2" s="100" t="inlineStr">
        <is>
          <t>Climb_Power_W</t>
        </is>
      </c>
      <c r="J2" s="100" t="inlineStr">
        <is>
          <t>Cruise_Power_W</t>
        </is>
      </c>
      <c r="K2" s="100" t="inlineStr">
        <is>
          <t>Max_Power_W</t>
        </is>
      </c>
      <c r="L2" s="100" t="inlineStr">
        <is>
          <t>Weight_g</t>
        </is>
      </c>
      <c r="M2" s="100" t="inlineStr">
        <is>
          <t>Efficiency_%</t>
        </is>
      </c>
      <c r="N2" s="100" t="inlineStr">
        <is>
          <t>Duty_Cycle_%</t>
        </is>
      </c>
      <c r="O2" s="100" t="inlineStr">
        <is>
          <t>Notes / Operating Conditions</t>
        </is>
      </c>
      <c r="P2" s="100" t="inlineStr">
        <is>
          <t>Active</t>
        </is>
      </c>
    </row>
    <row r="3" ht="21.75" customHeight="1" s="78">
      <c r="A3" s="135" t="inlineStr">
        <is>
          <t>MOT_T_MOTOR_MN4014</t>
        </is>
      </c>
      <c r="B3" s="136" t="inlineStr">
        <is>
          <t>Propulsion</t>
        </is>
      </c>
      <c r="C3" s="136" t="inlineStr">
        <is>
          <t>T-Motor</t>
        </is>
      </c>
      <c r="D3" s="136" t="inlineStr">
        <is>
          <t>MN4014 KV330</t>
        </is>
      </c>
      <c r="E3" s="137" t="n">
        <v>22.2</v>
      </c>
      <c r="F3" s="137" t="n">
        <v>12</v>
      </c>
      <c r="G3" s="137" t="n">
        <v>2</v>
      </c>
      <c r="H3" s="137" t="n">
        <v>55</v>
      </c>
      <c r="I3" s="137" t="n">
        <v>85</v>
      </c>
      <c r="J3" s="137" t="n">
        <v>45</v>
      </c>
      <c r="K3" s="137" t="n">
        <v>110</v>
      </c>
      <c r="L3" s="137" t="n">
        <v>135</v>
      </c>
      <c r="M3" s="136" t="n">
        <v>85</v>
      </c>
      <c r="N3" s="136" t="n">
        <v>80</v>
      </c>
      <c r="O3" s="138" t="inlineStr">
        <is>
          <t>Mid-size multirotor; 15" prop; KV330</t>
        </is>
      </c>
      <c r="P3" s="136" t="inlineStr">
        <is>
          <t>Yes</t>
        </is>
      </c>
    </row>
    <row r="4" ht="21.75" customHeight="1" s="78">
      <c r="A4" s="117" t="inlineStr">
        <is>
          <t>MOT_T_MOTOR_MN701S</t>
        </is>
      </c>
      <c r="B4" s="136" t="inlineStr">
        <is>
          <t>Propulsion</t>
        </is>
      </c>
      <c r="C4" s="95" t="inlineStr">
        <is>
          <t>T-Motor</t>
        </is>
      </c>
      <c r="D4" s="95" t="inlineStr">
        <is>
          <t>MN701S KV85</t>
        </is>
      </c>
      <c r="E4" s="139" t="n">
        <v>44.4</v>
      </c>
      <c r="F4" s="139" t="n">
        <v>18</v>
      </c>
      <c r="G4" s="139" t="n">
        <v>3</v>
      </c>
      <c r="H4" s="139" t="n">
        <v>90</v>
      </c>
      <c r="I4" s="139" t="n">
        <v>140</v>
      </c>
      <c r="J4" s="139" t="n">
        <v>75</v>
      </c>
      <c r="K4" s="139" t="n">
        <v>200</v>
      </c>
      <c r="L4" s="139" t="n">
        <v>220</v>
      </c>
      <c r="M4" s="95" t="n">
        <v>87</v>
      </c>
      <c r="N4" s="95" t="n">
        <v>80</v>
      </c>
      <c r="O4" s="119" t="inlineStr">
        <is>
          <t>Heavy-lift; 22" prop; KV85</t>
        </is>
      </c>
      <c r="P4" s="95" t="inlineStr">
        <is>
          <t>Yes</t>
        </is>
      </c>
    </row>
    <row r="5" ht="21.75" customHeight="1" s="78">
      <c r="A5" s="135" t="inlineStr">
        <is>
          <t>MOT_SUNNYSKY_X2216</t>
        </is>
      </c>
      <c r="B5" s="136" t="inlineStr">
        <is>
          <t>Propulsion</t>
        </is>
      </c>
      <c r="C5" s="136" t="inlineStr">
        <is>
          <t>SunnySky</t>
        </is>
      </c>
      <c r="D5" s="136" t="inlineStr">
        <is>
          <t>X2216 KV800</t>
        </is>
      </c>
      <c r="E5" s="137" t="n">
        <v>11.1</v>
      </c>
      <c r="F5" s="137" t="n">
        <v>8</v>
      </c>
      <c r="G5" s="137" t="n">
        <v>1</v>
      </c>
      <c r="H5" s="137" t="n">
        <v>35</v>
      </c>
      <c r="I5" s="137" t="n">
        <v>55</v>
      </c>
      <c r="J5" s="137" t="n">
        <v>28</v>
      </c>
      <c r="K5" s="137" t="n">
        <v>75</v>
      </c>
      <c r="L5" s="137" t="n">
        <v>73</v>
      </c>
      <c r="M5" s="136" t="n">
        <v>83</v>
      </c>
      <c r="N5" s="136" t="n">
        <v>80</v>
      </c>
      <c r="O5" s="138" t="inlineStr">
        <is>
          <t>Compact S250-S450 class; 9" prop</t>
        </is>
      </c>
      <c r="P5" s="136" t="inlineStr">
        <is>
          <t>Yes</t>
        </is>
      </c>
    </row>
    <row r="6" ht="21.75" customHeight="1" s="78">
      <c r="A6" s="117" t="inlineStr">
        <is>
          <t>MOT_HOBBYWING_X8</t>
        </is>
      </c>
      <c r="B6" s="136" t="inlineStr">
        <is>
          <t>Propulsion</t>
        </is>
      </c>
      <c r="C6" s="95" t="inlineStr">
        <is>
          <t>Hobbywing</t>
        </is>
      </c>
      <c r="D6" s="95" t="inlineStr">
        <is>
          <t>X8 Power System</t>
        </is>
      </c>
      <c r="E6" s="139" t="n">
        <v>44.4</v>
      </c>
      <c r="F6" s="139" t="n">
        <v>20</v>
      </c>
      <c r="G6" s="139" t="n">
        <v>3</v>
      </c>
      <c r="H6" s="139" t="n">
        <v>100</v>
      </c>
      <c r="I6" s="139" t="n">
        <v>160</v>
      </c>
      <c r="J6" s="139" t="n">
        <v>80</v>
      </c>
      <c r="K6" s="139" t="n">
        <v>220</v>
      </c>
      <c r="L6" s="139" t="n">
        <v>268</v>
      </c>
      <c r="M6" s="95" t="n">
        <v>88</v>
      </c>
      <c r="N6" s="95" t="n">
        <v>80</v>
      </c>
      <c r="O6" s="119" t="inlineStr">
        <is>
          <t>Enterprise coaxial; 22-24" prop</t>
        </is>
      </c>
      <c r="P6" s="95" t="inlineStr">
        <is>
          <t>Yes</t>
        </is>
      </c>
    </row>
    <row r="7" ht="21.75" customHeight="1" s="78">
      <c r="A7" s="135" t="inlineStr">
        <is>
          <t>ESC_FLAME_60A</t>
        </is>
      </c>
      <c r="B7" s="136" t="inlineStr">
        <is>
          <t>Propulsion</t>
        </is>
      </c>
      <c r="C7" s="136" t="inlineStr">
        <is>
          <t>Hobbywing</t>
        </is>
      </c>
      <c r="D7" s="136" t="inlineStr">
        <is>
          <t>Flame 60A</t>
        </is>
      </c>
      <c r="E7" s="137" t="n">
        <v>6</v>
      </c>
      <c r="F7" s="137" t="n">
        <v>0.5</v>
      </c>
      <c r="G7" s="137" t="n">
        <v>3</v>
      </c>
      <c r="H7" s="137" t="n">
        <v>3</v>
      </c>
      <c r="I7" s="137" t="n">
        <v>3</v>
      </c>
      <c r="J7" s="137" t="n">
        <v>3</v>
      </c>
      <c r="K7" s="137" t="n">
        <v>5</v>
      </c>
      <c r="L7" s="137" t="n">
        <v>38</v>
      </c>
      <c r="M7" s="136" t="n">
        <v>98</v>
      </c>
      <c r="N7" s="136" t="n">
        <v>80</v>
      </c>
      <c r="O7" s="138" t="inlineStr">
        <is>
          <t>BEC 5V/3A; PWM+DSHOT; 60A cont.</t>
        </is>
      </c>
      <c r="P7" s="136" t="inlineStr">
        <is>
          <t>Yes</t>
        </is>
      </c>
    </row>
    <row r="8" ht="21.75" customHeight="1" s="78">
      <c r="A8" s="117" t="inlineStr">
        <is>
          <t>ESC_FLAME_80A</t>
        </is>
      </c>
      <c r="B8" s="136" t="inlineStr">
        <is>
          <t>Propulsion</t>
        </is>
      </c>
      <c r="C8" s="95" t="inlineStr">
        <is>
          <t>Hobbywing</t>
        </is>
      </c>
      <c r="D8" s="95" t="inlineStr">
        <is>
          <t>Flame 80A</t>
        </is>
      </c>
      <c r="E8" s="139" t="n">
        <v>6</v>
      </c>
      <c r="F8" s="139" t="n">
        <v>0.5</v>
      </c>
      <c r="G8" s="139" t="n">
        <v>3</v>
      </c>
      <c r="H8" s="139" t="n">
        <v>3</v>
      </c>
      <c r="I8" s="139" t="n">
        <v>3</v>
      </c>
      <c r="J8" s="139" t="n">
        <v>3</v>
      </c>
      <c r="K8" s="139" t="n">
        <v>5</v>
      </c>
      <c r="L8" s="139" t="n">
        <v>56</v>
      </c>
      <c r="M8" s="95" t="n">
        <v>98</v>
      </c>
      <c r="N8" s="95" t="n">
        <v>80</v>
      </c>
      <c r="O8" s="119" t="inlineStr">
        <is>
          <t>BEC 5V/3A; PWM+DSHOT; 80A cont.</t>
        </is>
      </c>
      <c r="P8" s="95" t="inlineStr">
        <is>
          <t>Yes</t>
        </is>
      </c>
    </row>
    <row r="9" ht="21.75" customHeight="1" s="78">
      <c r="A9" s="109" t="inlineStr">
        <is>
          <t>FC_PIXHAWK_6C</t>
        </is>
      </c>
      <c r="B9" s="98" t="inlineStr">
        <is>
          <t>Avionics</t>
        </is>
      </c>
      <c r="C9" s="98" t="inlineStr">
        <is>
          <t>Holybro</t>
        </is>
      </c>
      <c r="D9" s="98" t="inlineStr">
        <is>
          <t>Pixhawk 6C</t>
        </is>
      </c>
      <c r="E9" s="140" t="n">
        <v>5</v>
      </c>
      <c r="F9" s="140" t="n">
        <v>0.8</v>
      </c>
      <c r="G9" s="140" t="n">
        <v>3</v>
      </c>
      <c r="H9" s="140" t="n">
        <v>4</v>
      </c>
      <c r="I9" s="140" t="n">
        <v>4</v>
      </c>
      <c r="J9" s="140" t="n">
        <v>4</v>
      </c>
      <c r="K9" s="140" t="n">
        <v>6</v>
      </c>
      <c r="L9" s="140" t="n">
        <v>65</v>
      </c>
      <c r="M9" s="98" t="n">
        <v>90</v>
      </c>
      <c r="N9" s="98" t="n">
        <v>100</v>
      </c>
      <c r="O9" s="110" t="inlineStr">
        <is>
          <t>ArduPilot/PX4; triple IMU redundancy</t>
        </is>
      </c>
      <c r="P9" s="98" t="inlineStr">
        <is>
          <t>Yes</t>
        </is>
      </c>
    </row>
    <row r="10" ht="21.75" customHeight="1" s="78">
      <c r="A10" s="117" t="inlineStr">
        <is>
          <t>FC_CUBE_ORANGE</t>
        </is>
      </c>
      <c r="B10" s="98" t="inlineStr">
        <is>
          <t>Avionics</t>
        </is>
      </c>
      <c r="C10" s="95" t="inlineStr">
        <is>
          <t>CubePilot</t>
        </is>
      </c>
      <c r="D10" s="95" t="inlineStr">
        <is>
          <t>Cube Orange+</t>
        </is>
      </c>
      <c r="E10" s="139" t="n">
        <v>5</v>
      </c>
      <c r="F10" s="139" t="n">
        <v>1</v>
      </c>
      <c r="G10" s="139" t="n">
        <v>4</v>
      </c>
      <c r="H10" s="139" t="n">
        <v>5</v>
      </c>
      <c r="I10" s="139" t="n">
        <v>5</v>
      </c>
      <c r="J10" s="139" t="n">
        <v>5</v>
      </c>
      <c r="K10" s="139" t="n">
        <v>7</v>
      </c>
      <c r="L10" s="139" t="n">
        <v>68</v>
      </c>
      <c r="M10" s="95" t="n">
        <v>90</v>
      </c>
      <c r="N10" s="95" t="n">
        <v>100</v>
      </c>
      <c r="O10" s="119" t="inlineStr">
        <is>
          <t>Triple-redundant; carrier-board req.</t>
        </is>
      </c>
      <c r="P10" s="95" t="inlineStr">
        <is>
          <t>Yes</t>
        </is>
      </c>
    </row>
    <row r="11" ht="21.75" customHeight="1" s="78">
      <c r="A11" s="109" t="inlineStr">
        <is>
          <t>GPS_HERE3</t>
        </is>
      </c>
      <c r="B11" s="98" t="inlineStr">
        <is>
          <t>Avionics</t>
        </is>
      </c>
      <c r="C11" s="98" t="inlineStr">
        <is>
          <t>CubePilot</t>
        </is>
      </c>
      <c r="D11" s="98" t="inlineStr">
        <is>
          <t>Here 3+ GPS</t>
        </is>
      </c>
      <c r="E11" s="140" t="n">
        <v>5</v>
      </c>
      <c r="F11" s="140" t="n">
        <v>0.1</v>
      </c>
      <c r="G11" s="140" t="n">
        <v>0.5</v>
      </c>
      <c r="H11" s="140" t="n">
        <v>0.5</v>
      </c>
      <c r="I11" s="140" t="n">
        <v>0.5</v>
      </c>
      <c r="J11" s="140" t="n">
        <v>0.5</v>
      </c>
      <c r="K11" s="140" t="n">
        <v>1</v>
      </c>
      <c r="L11" s="140" t="n">
        <v>48</v>
      </c>
      <c r="M11" s="98" t="n">
        <v>95</v>
      </c>
      <c r="N11" s="98" t="n">
        <v>100</v>
      </c>
      <c r="O11" s="110" t="inlineStr">
        <is>
          <t>Multi-constellation GNSS; RTK ready</t>
        </is>
      </c>
      <c r="P11" s="98" t="inlineStr">
        <is>
          <t>Yes</t>
        </is>
      </c>
    </row>
    <row r="12" ht="21.75" customHeight="1" s="78">
      <c r="A12" s="117" t="inlineStr">
        <is>
          <t>GPS_F9P_RTK</t>
        </is>
      </c>
      <c r="B12" s="98" t="inlineStr">
        <is>
          <t>Avionics</t>
        </is>
      </c>
      <c r="C12" s="95" t="inlineStr">
        <is>
          <t>Drotek</t>
        </is>
      </c>
      <c r="D12" s="95" t="inlineStr">
        <is>
          <t>F9P Sirius RTK</t>
        </is>
      </c>
      <c r="E12" s="139" t="n">
        <v>5</v>
      </c>
      <c r="F12" s="139" t="n">
        <v>0.25</v>
      </c>
      <c r="G12" s="139" t="n">
        <v>1</v>
      </c>
      <c r="H12" s="139" t="n">
        <v>1.25</v>
      </c>
      <c r="I12" s="139" t="n">
        <v>1.25</v>
      </c>
      <c r="J12" s="139" t="n">
        <v>1.25</v>
      </c>
      <c r="K12" s="139" t="n">
        <v>1.5</v>
      </c>
      <c r="L12" s="139" t="n">
        <v>25</v>
      </c>
      <c r="M12" s="95" t="n">
        <v>95</v>
      </c>
      <c r="N12" s="95" t="n">
        <v>100</v>
      </c>
      <c r="O12" s="119" t="inlineStr">
        <is>
          <t>cm-accuracy RTK; multi-band</t>
        </is>
      </c>
      <c r="P12" s="95" t="inlineStr">
        <is>
          <t>Yes</t>
        </is>
      </c>
    </row>
    <row r="13" ht="21.75" customHeight="1" s="78">
      <c r="A13" s="109" t="inlineStr">
        <is>
          <t>IMU_VN100</t>
        </is>
      </c>
      <c r="B13" s="98" t="inlineStr">
        <is>
          <t>Avionics</t>
        </is>
      </c>
      <c r="C13" s="98" t="inlineStr">
        <is>
          <t>VectorNav</t>
        </is>
      </c>
      <c r="D13" s="98" t="inlineStr">
        <is>
          <t>VN-100</t>
        </is>
      </c>
      <c r="E13" s="140" t="n">
        <v>5</v>
      </c>
      <c r="F13" s="140" t="n">
        <v>0.3</v>
      </c>
      <c r="G13" s="140" t="n">
        <v>1.5</v>
      </c>
      <c r="H13" s="140" t="n">
        <v>1.5</v>
      </c>
      <c r="I13" s="140" t="n">
        <v>1.5</v>
      </c>
      <c r="J13" s="140" t="n">
        <v>1.5</v>
      </c>
      <c r="K13" s="140" t="n">
        <v>2</v>
      </c>
      <c r="L13" s="140" t="n">
        <v>15</v>
      </c>
      <c r="M13" s="98" t="n">
        <v>95</v>
      </c>
      <c r="N13" s="98" t="n">
        <v>100</v>
      </c>
      <c r="O13" s="110" t="inlineStr">
        <is>
          <t>High-accuracy MEMS IMU</t>
        </is>
      </c>
      <c r="P13" s="98" t="inlineStr">
        <is>
          <t>Yes</t>
        </is>
      </c>
    </row>
    <row r="14" ht="21.75" customHeight="1" s="78">
      <c r="A14" s="117" t="inlineStr">
        <is>
          <t>CAM_SONY_A7R</t>
        </is>
      </c>
      <c r="B14" s="97" t="inlineStr">
        <is>
          <t>Payload</t>
        </is>
      </c>
      <c r="C14" s="95" t="inlineStr">
        <is>
          <t>Sony</t>
        </is>
      </c>
      <c r="D14" s="95" t="inlineStr">
        <is>
          <t>A7R IV (gimbal)</t>
        </is>
      </c>
      <c r="E14" s="139" t="n">
        <v>12</v>
      </c>
      <c r="F14" s="139" t="n">
        <v>0.5</v>
      </c>
      <c r="G14" s="139" t="n">
        <v>3</v>
      </c>
      <c r="H14" s="139" t="n">
        <v>6</v>
      </c>
      <c r="I14" s="139" t="n">
        <v>6</v>
      </c>
      <c r="J14" s="139" t="n">
        <v>6</v>
      </c>
      <c r="K14" s="139" t="n">
        <v>8</v>
      </c>
      <c r="L14" s="139" t="n">
        <v>565</v>
      </c>
      <c r="M14" s="95" t="n">
        <v>90</v>
      </c>
      <c r="N14" s="95" t="n">
        <v>70</v>
      </c>
      <c r="O14" s="119" t="inlineStr">
        <is>
          <t>42MP full-frame; survey photography</t>
        </is>
      </c>
      <c r="P14" s="95" t="inlineStr">
        <is>
          <t>Yes</t>
        </is>
      </c>
    </row>
    <row r="15" ht="21.75" customHeight="1" s="78">
      <c r="A15" s="105" t="inlineStr">
        <is>
          <t>CAM_ZENMUSE_X7</t>
        </is>
      </c>
      <c r="B15" s="97" t="inlineStr">
        <is>
          <t>Payload</t>
        </is>
      </c>
      <c r="C15" s="97" t="inlineStr">
        <is>
          <t>DJI</t>
        </is>
      </c>
      <c r="D15" s="97" t="inlineStr">
        <is>
          <t>Zenmuse X7</t>
        </is>
      </c>
      <c r="E15" s="141" t="n">
        <v>17.6</v>
      </c>
      <c r="F15" s="141" t="n">
        <v>0.5</v>
      </c>
      <c r="G15" s="141" t="n">
        <v>4</v>
      </c>
      <c r="H15" s="141" t="n">
        <v>8</v>
      </c>
      <c r="I15" s="141" t="n">
        <v>8</v>
      </c>
      <c r="J15" s="141" t="n">
        <v>8</v>
      </c>
      <c r="K15" s="141" t="n">
        <v>12</v>
      </c>
      <c r="L15" s="141" t="n">
        <v>449</v>
      </c>
      <c r="M15" s="97" t="n">
        <v>90</v>
      </c>
      <c r="N15" s="97" t="n">
        <v>70</v>
      </c>
      <c r="O15" s="106" t="inlineStr">
        <is>
          <t>6K cinema; L-Mount; photogrammetry</t>
        </is>
      </c>
      <c r="P15" s="97" t="inlineStr">
        <is>
          <t>Yes</t>
        </is>
      </c>
    </row>
    <row r="16" ht="21.75" customHeight="1" s="78">
      <c r="A16" s="117" t="inlineStr">
        <is>
          <t>CAM_RGB_10MP</t>
        </is>
      </c>
      <c r="B16" s="97" t="inlineStr">
        <is>
          <t>Payload</t>
        </is>
      </c>
      <c r="C16" s="95" t="inlineStr">
        <is>
          <t>Generic</t>
        </is>
      </c>
      <c r="D16" s="95" t="inlineStr">
        <is>
          <t>10MP RGB Survey</t>
        </is>
      </c>
      <c r="E16" s="139" t="n">
        <v>5</v>
      </c>
      <c r="F16" s="139" t="n">
        <v>0.25</v>
      </c>
      <c r="G16" s="139" t="n">
        <v>1</v>
      </c>
      <c r="H16" s="139" t="n">
        <v>2.5</v>
      </c>
      <c r="I16" s="139" t="n">
        <v>2.5</v>
      </c>
      <c r="J16" s="139" t="n">
        <v>2.5</v>
      </c>
      <c r="K16" s="139" t="n">
        <v>3</v>
      </c>
      <c r="L16" s="139" t="n">
        <v>120</v>
      </c>
      <c r="M16" s="95" t="n">
        <v>90</v>
      </c>
      <c r="N16" s="95" t="n">
        <v>80</v>
      </c>
      <c r="O16" s="119" t="inlineStr">
        <is>
          <t>Standard mapping; 10MP resolution</t>
        </is>
      </c>
      <c r="P16" s="95" t="inlineStr">
        <is>
          <t>Yes</t>
        </is>
      </c>
    </row>
    <row r="17" ht="21.75" customHeight="1" s="78">
      <c r="A17" s="105" t="inlineStr">
        <is>
          <t>LIDAR_HESAI_XT32</t>
        </is>
      </c>
      <c r="B17" s="97" t="inlineStr">
        <is>
          <t>Payload</t>
        </is>
      </c>
      <c r="C17" s="97" t="inlineStr">
        <is>
          <t>Hesai</t>
        </is>
      </c>
      <c r="D17" s="97" t="inlineStr">
        <is>
          <t>XT-32 LiDAR</t>
        </is>
      </c>
      <c r="E17" s="141" t="n">
        <v>12</v>
      </c>
      <c r="F17" s="141" t="n">
        <v>1.5</v>
      </c>
      <c r="G17" s="141" t="n">
        <v>6</v>
      </c>
      <c r="H17" s="141" t="n">
        <v>18</v>
      </c>
      <c r="I17" s="141" t="n">
        <v>18</v>
      </c>
      <c r="J17" s="141" t="n">
        <v>18</v>
      </c>
      <c r="K17" s="141" t="n">
        <v>22</v>
      </c>
      <c r="L17" s="141" t="n">
        <v>680</v>
      </c>
      <c r="M17" s="97" t="n">
        <v>90</v>
      </c>
      <c r="N17" s="97" t="n">
        <v>100</v>
      </c>
      <c r="O17" s="106" t="inlineStr">
        <is>
          <t>32-channel mechanical LiDAR; 120m</t>
        </is>
      </c>
      <c r="P17" s="97" t="inlineStr">
        <is>
          <t>Yes</t>
        </is>
      </c>
    </row>
    <row r="18" ht="21.75" customHeight="1" s="78">
      <c r="A18" s="117" t="inlineStr">
        <is>
          <t>LIDAR_LIVOX_MID360</t>
        </is>
      </c>
      <c r="B18" s="97" t="inlineStr">
        <is>
          <t>Payload</t>
        </is>
      </c>
      <c r="C18" s="95" t="inlineStr">
        <is>
          <t>Livox</t>
        </is>
      </c>
      <c r="D18" s="95" t="inlineStr">
        <is>
          <t>Mid-360</t>
        </is>
      </c>
      <c r="E18" s="139" t="n">
        <v>12</v>
      </c>
      <c r="F18" s="139" t="n">
        <v>0.5</v>
      </c>
      <c r="G18" s="139" t="n">
        <v>4</v>
      </c>
      <c r="H18" s="139" t="n">
        <v>6</v>
      </c>
      <c r="I18" s="139" t="n">
        <v>6</v>
      </c>
      <c r="J18" s="139" t="n">
        <v>6</v>
      </c>
      <c r="K18" s="139" t="n">
        <v>8</v>
      </c>
      <c r="L18" s="139" t="n">
        <v>265</v>
      </c>
      <c r="M18" s="95" t="n">
        <v>90</v>
      </c>
      <c r="N18" s="95" t="n">
        <v>100</v>
      </c>
      <c r="O18" s="119" t="inlineStr">
        <is>
          <t>Non-repetitive scan; 40m range</t>
        </is>
      </c>
      <c r="P18" s="95" t="inlineStr">
        <is>
          <t>Yes</t>
        </is>
      </c>
    </row>
    <row r="19" ht="21.75" customHeight="1" s="78">
      <c r="A19" s="105" t="inlineStr">
        <is>
          <t>MULTISPECTRAL_MX</t>
        </is>
      </c>
      <c r="B19" s="97" t="inlineStr">
        <is>
          <t>Payload</t>
        </is>
      </c>
      <c r="C19" s="97" t="inlineStr">
        <is>
          <t>MicaSense</t>
        </is>
      </c>
      <c r="D19" s="97" t="inlineStr">
        <is>
          <t>RedEdge-MX</t>
        </is>
      </c>
      <c r="E19" s="141" t="n">
        <v>5.5</v>
      </c>
      <c r="F19" s="141" t="n">
        <v>0.8</v>
      </c>
      <c r="G19" s="141" t="n">
        <v>3</v>
      </c>
      <c r="H19" s="141" t="n">
        <v>4.4</v>
      </c>
      <c r="I19" s="141" t="n">
        <v>4.4</v>
      </c>
      <c r="J19" s="141" t="n">
        <v>4.4</v>
      </c>
      <c r="K19" s="141" t="n">
        <v>6</v>
      </c>
      <c r="L19" s="141" t="n">
        <v>231</v>
      </c>
      <c r="M19" s="97" t="n">
        <v>90</v>
      </c>
      <c r="N19" s="97" t="n">
        <v>80</v>
      </c>
      <c r="O19" s="106" t="inlineStr">
        <is>
          <t>5-band; NDVI/NDRE; precision ag</t>
        </is>
      </c>
      <c r="P19" s="97" t="inlineStr">
        <is>
          <t>Yes</t>
        </is>
      </c>
    </row>
    <row r="20" ht="21.75" customHeight="1" s="78">
      <c r="A20" s="117" t="inlineStr">
        <is>
          <t>THERMAL_VUE_PRO</t>
        </is>
      </c>
      <c r="B20" s="97" t="inlineStr">
        <is>
          <t>Payload</t>
        </is>
      </c>
      <c r="C20" s="95" t="inlineStr">
        <is>
          <t>FLIR</t>
        </is>
      </c>
      <c r="D20" s="95" t="inlineStr">
        <is>
          <t>Vue Pro R 640</t>
        </is>
      </c>
      <c r="E20" s="139" t="n">
        <v>5</v>
      </c>
      <c r="F20" s="139" t="n">
        <v>0.5</v>
      </c>
      <c r="G20" s="139" t="n">
        <v>2</v>
      </c>
      <c r="H20" s="139" t="n">
        <v>2.5</v>
      </c>
      <c r="I20" s="139" t="n">
        <v>2.5</v>
      </c>
      <c r="J20" s="139" t="n">
        <v>2.5</v>
      </c>
      <c r="K20" s="139" t="n">
        <v>4</v>
      </c>
      <c r="L20" s="139" t="n">
        <v>92</v>
      </c>
      <c r="M20" s="95" t="n">
        <v>90</v>
      </c>
      <c r="N20" s="95" t="n">
        <v>70</v>
      </c>
      <c r="O20" s="119" t="inlineStr">
        <is>
          <t>640×512 thermal; radiometric</t>
        </is>
      </c>
      <c r="P20" s="95" t="inlineStr">
        <is>
          <t>Yes</t>
        </is>
      </c>
    </row>
    <row r="21" ht="21.75" customHeight="1" s="78">
      <c r="A21" s="105" t="inlineStr">
        <is>
          <t>GIMBAL_3AXIS</t>
        </is>
      </c>
      <c r="B21" s="97" t="inlineStr">
        <is>
          <t>Payload</t>
        </is>
      </c>
      <c r="C21" s="97" t="inlineStr">
        <is>
          <t>Generic</t>
        </is>
      </c>
      <c r="D21" s="97" t="inlineStr">
        <is>
          <t>3-Axis Gimbal</t>
        </is>
      </c>
      <c r="E21" s="141" t="n">
        <v>12</v>
      </c>
      <c r="F21" s="141" t="n">
        <v>0.5</v>
      </c>
      <c r="G21" s="141" t="n">
        <v>4</v>
      </c>
      <c r="H21" s="141" t="n">
        <v>6</v>
      </c>
      <c r="I21" s="141" t="n">
        <v>8</v>
      </c>
      <c r="J21" s="141" t="n">
        <v>6</v>
      </c>
      <c r="K21" s="141" t="n">
        <v>10</v>
      </c>
      <c r="L21" s="141" t="n">
        <v>380</v>
      </c>
      <c r="M21" s="97" t="n">
        <v>85</v>
      </c>
      <c r="N21" s="97" t="n">
        <v>100</v>
      </c>
      <c r="O21" s="106" t="inlineStr">
        <is>
          <t>3-axis stabilisation; servo power</t>
        </is>
      </c>
      <c r="P21" s="97" t="inlineStr">
        <is>
          <t>Yes</t>
        </is>
      </c>
    </row>
    <row r="22" ht="21.75" customHeight="1" s="78">
      <c r="A22" s="117" t="inlineStr">
        <is>
          <t>RC_CROSSFIRE</t>
        </is>
      </c>
      <c r="B22" s="94" t="inlineStr">
        <is>
          <t>Communication</t>
        </is>
      </c>
      <c r="C22" s="95" t="inlineStr">
        <is>
          <t>TBS</t>
        </is>
      </c>
      <c r="D22" s="95" t="inlineStr">
        <is>
          <t>Crossfire TX+RX</t>
        </is>
      </c>
      <c r="E22" s="139" t="n">
        <v>5</v>
      </c>
      <c r="F22" s="139" t="n">
        <v>0.2</v>
      </c>
      <c r="G22" s="139" t="n">
        <v>0.5</v>
      </c>
      <c r="H22" s="139" t="n">
        <v>1</v>
      </c>
      <c r="I22" s="139" t="n">
        <v>1</v>
      </c>
      <c r="J22" s="139" t="n">
        <v>1</v>
      </c>
      <c r="K22" s="139" t="n">
        <v>2</v>
      </c>
      <c r="L22" s="139" t="n">
        <v>45</v>
      </c>
      <c r="M22" s="95" t="n">
        <v>90</v>
      </c>
      <c r="N22" s="95" t="n">
        <v>100</v>
      </c>
      <c r="O22" s="119" t="inlineStr">
        <is>
          <t>1W long-range RC link; 900MHz</t>
        </is>
      </c>
      <c r="P22" s="95" t="inlineStr">
        <is>
          <t>Yes</t>
        </is>
      </c>
    </row>
    <row r="23" ht="21.75" customHeight="1" s="78">
      <c r="A23" s="107" t="inlineStr">
        <is>
          <t>TELEMETRY_900MHZ</t>
        </is>
      </c>
      <c r="B23" s="94" t="inlineStr">
        <is>
          <t>Communication</t>
        </is>
      </c>
      <c r="C23" s="94" t="inlineStr">
        <is>
          <t>RFD</t>
        </is>
      </c>
      <c r="D23" s="94" t="inlineStr">
        <is>
          <t>RFD900x</t>
        </is>
      </c>
      <c r="E23" s="142" t="n">
        <v>5</v>
      </c>
      <c r="F23" s="142" t="n">
        <v>0.25</v>
      </c>
      <c r="G23" s="142" t="n">
        <v>0.5</v>
      </c>
      <c r="H23" s="142" t="n">
        <v>1.25</v>
      </c>
      <c r="I23" s="142" t="n">
        <v>1.25</v>
      </c>
      <c r="J23" s="142" t="n">
        <v>1.25</v>
      </c>
      <c r="K23" s="142" t="n">
        <v>2</v>
      </c>
      <c r="L23" s="142" t="n">
        <v>64</v>
      </c>
      <c r="M23" s="94" t="n">
        <v>90</v>
      </c>
      <c r="N23" s="94" t="n">
        <v>100</v>
      </c>
      <c r="O23" s="108" t="inlineStr">
        <is>
          <t>900MHz telemetry; 40km range</t>
        </is>
      </c>
      <c r="P23" s="94" t="inlineStr">
        <is>
          <t>Yes</t>
        </is>
      </c>
    </row>
    <row r="24" ht="21.75" customHeight="1" s="78">
      <c r="A24" s="117" t="inlineStr">
        <is>
          <t>DATALINK_LTE</t>
        </is>
      </c>
      <c r="B24" s="94" t="inlineStr">
        <is>
          <t>Communication</t>
        </is>
      </c>
      <c r="C24" s="95" t="inlineStr">
        <is>
          <t>Generic</t>
        </is>
      </c>
      <c r="D24" s="95" t="inlineStr">
        <is>
          <t>4G LTE Module</t>
        </is>
      </c>
      <c r="E24" s="139" t="n">
        <v>5</v>
      </c>
      <c r="F24" s="139" t="n">
        <v>0.5</v>
      </c>
      <c r="G24" s="139" t="n">
        <v>0.5</v>
      </c>
      <c r="H24" s="139" t="n">
        <v>2.5</v>
      </c>
      <c r="I24" s="139" t="n">
        <v>2.5</v>
      </c>
      <c r="J24" s="139" t="n">
        <v>2.5</v>
      </c>
      <c r="K24" s="139" t="n">
        <v>4</v>
      </c>
      <c r="L24" s="139" t="n">
        <v>35</v>
      </c>
      <c r="M24" s="95" t="n">
        <v>85</v>
      </c>
      <c r="N24" s="95" t="n">
        <v>100</v>
      </c>
      <c r="O24" s="119" t="inlineStr">
        <is>
          <t>Cellular fallback; cloud connectivity</t>
        </is>
      </c>
      <c r="P24" s="95" t="inlineStr">
        <is>
          <t>Yes</t>
        </is>
      </c>
    </row>
    <row r="25" ht="21.75" customHeight="1" s="78">
      <c r="A25" s="107" t="inlineStr">
        <is>
          <t>VIDEO_TX_5G8</t>
        </is>
      </c>
      <c r="B25" s="94" t="inlineStr">
        <is>
          <t>Communication</t>
        </is>
      </c>
      <c r="C25" s="94" t="inlineStr">
        <is>
          <t>TBS</t>
        </is>
      </c>
      <c r="D25" s="94" t="inlineStr">
        <is>
          <t>Unify Pro 5G8</t>
        </is>
      </c>
      <c r="E25" s="142" t="n">
        <v>5</v>
      </c>
      <c r="F25" s="142" t="n">
        <v>0.15</v>
      </c>
      <c r="G25" s="142" t="n">
        <v>0.4</v>
      </c>
      <c r="H25" s="142" t="n">
        <v>0.75</v>
      </c>
      <c r="I25" s="142" t="n">
        <v>0.75</v>
      </c>
      <c r="J25" s="142" t="n">
        <v>0.75</v>
      </c>
      <c r="K25" s="142" t="n">
        <v>1.5</v>
      </c>
      <c r="L25" s="142" t="n">
        <v>10</v>
      </c>
      <c r="M25" s="94" t="n">
        <v>88</v>
      </c>
      <c r="N25" s="94" t="n">
        <v>100</v>
      </c>
      <c r="O25" s="108" t="inlineStr">
        <is>
          <t>5.8GHz HD video TX; 300mW</t>
        </is>
      </c>
      <c r="P25" s="94" t="inlineStr">
        <is>
          <t>Yes</t>
        </is>
      </c>
    </row>
    <row r="26" ht="21.75" customHeight="1" s="78">
      <c r="A26" s="117" t="inlineStr">
        <is>
          <t>BMS_ACTIVE</t>
        </is>
      </c>
      <c r="B26" s="112" t="inlineStr">
        <is>
          <t>Power Systems</t>
        </is>
      </c>
      <c r="C26" s="95" t="inlineStr">
        <is>
          <t>Generic</t>
        </is>
      </c>
      <c r="D26" s="95" t="inlineStr">
        <is>
          <t>Active BMS 6S</t>
        </is>
      </c>
      <c r="E26" s="139" t="n">
        <v>5</v>
      </c>
      <c r="F26" s="139" t="n">
        <v>0.5</v>
      </c>
      <c r="G26" s="139" t="n">
        <v>2</v>
      </c>
      <c r="H26" s="139" t="n">
        <v>2.5</v>
      </c>
      <c r="I26" s="139" t="n">
        <v>2.5</v>
      </c>
      <c r="J26" s="139" t="n">
        <v>2.5</v>
      </c>
      <c r="K26" s="139" t="n">
        <v>4</v>
      </c>
      <c r="L26" s="139" t="n">
        <v>85</v>
      </c>
      <c r="M26" s="95" t="n">
        <v>95</v>
      </c>
      <c r="N26" s="95" t="n">
        <v>100</v>
      </c>
      <c r="O26" s="119" t="inlineStr">
        <is>
          <t>Cell balancing + protection; 6S</t>
        </is>
      </c>
      <c r="P26" s="95" t="inlineStr">
        <is>
          <t>Yes</t>
        </is>
      </c>
    </row>
    <row r="27" ht="21.75" customHeight="1" s="78">
      <c r="A27" s="111" t="inlineStr">
        <is>
          <t>POWER_MODULE_60A</t>
        </is>
      </c>
      <c r="B27" s="112" t="inlineStr">
        <is>
          <t>Power Systems</t>
        </is>
      </c>
      <c r="C27" s="112" t="inlineStr">
        <is>
          <t>Mauch</t>
        </is>
      </c>
      <c r="D27" s="112" t="inlineStr">
        <is>
          <t>PL-100 Power Mod.</t>
        </is>
      </c>
      <c r="E27" s="143" t="n">
        <v>5</v>
      </c>
      <c r="F27" s="143" t="n">
        <v>0.5</v>
      </c>
      <c r="G27" s="143" t="n">
        <v>1</v>
      </c>
      <c r="H27" s="143" t="n">
        <v>2.5</v>
      </c>
      <c r="I27" s="143" t="n">
        <v>2.5</v>
      </c>
      <c r="J27" s="143" t="n">
        <v>2.5</v>
      </c>
      <c r="K27" s="143" t="n">
        <v>3</v>
      </c>
      <c r="L27" s="143" t="n">
        <v>28</v>
      </c>
      <c r="M27" s="112" t="n">
        <v>98</v>
      </c>
      <c r="N27" s="112" t="n">
        <v>100</v>
      </c>
      <c r="O27" s="113" t="inlineStr">
        <is>
          <t>High-precision current/voltage</t>
        </is>
      </c>
      <c r="P27" s="112" t="inlineStr">
        <is>
          <t>Yes</t>
        </is>
      </c>
    </row>
    <row r="28" ht="21.75" customHeight="1" s="78">
      <c r="A28" s="117" t="inlineStr">
        <is>
          <t>POWER_DIST_BOARD</t>
        </is>
      </c>
      <c r="B28" s="112" t="inlineStr">
        <is>
          <t>Power Systems</t>
        </is>
      </c>
      <c r="C28" s="95" t="inlineStr">
        <is>
          <t>Generic</t>
        </is>
      </c>
      <c r="D28" s="95" t="inlineStr">
        <is>
          <t>PDB 8-output</t>
        </is>
      </c>
      <c r="E28" s="139" t="n">
        <v>5</v>
      </c>
      <c r="F28" s="139" t="n">
        <v>0.2</v>
      </c>
      <c r="G28" s="139" t="n">
        <v>0.5</v>
      </c>
      <c r="H28" s="139" t="n">
        <v>1</v>
      </c>
      <c r="I28" s="139" t="n">
        <v>1</v>
      </c>
      <c r="J28" s="139" t="n">
        <v>1</v>
      </c>
      <c r="K28" s="139" t="n">
        <v>2</v>
      </c>
      <c r="L28" s="139" t="n">
        <v>35</v>
      </c>
      <c r="M28" s="95" t="n">
        <v>99</v>
      </c>
      <c r="N28" s="95" t="n">
        <v>100</v>
      </c>
      <c r="O28" s="119" t="inlineStr">
        <is>
          <t>Power distribution board</t>
        </is>
      </c>
      <c r="P28" s="95" t="inlineStr">
        <is>
          <t>Yes</t>
        </is>
      </c>
    </row>
    <row r="29" ht="21.75" customHeight="1" s="78">
      <c r="A29" s="114" t="inlineStr">
        <is>
          <t>FRAME_HEX_900</t>
        </is>
      </c>
      <c r="B29" s="115" t="inlineStr">
        <is>
          <t>Frame/Structure</t>
        </is>
      </c>
      <c r="C29" s="115" t="inlineStr">
        <is>
          <t>Generic</t>
        </is>
      </c>
      <c r="D29" s="115" t="inlineStr">
        <is>
          <t>CF Hex 900mm</t>
        </is>
      </c>
      <c r="E29" s="144" t="n">
        <v>0</v>
      </c>
      <c r="F29" s="144" t="n">
        <v>0</v>
      </c>
      <c r="G29" s="144" t="n">
        <v>0</v>
      </c>
      <c r="H29" s="144" t="n">
        <v>0</v>
      </c>
      <c r="I29" s="144" t="n">
        <v>0</v>
      </c>
      <c r="J29" s="144" t="n">
        <v>0</v>
      </c>
      <c r="K29" s="144" t="n">
        <v>0</v>
      </c>
      <c r="L29" s="144" t="n">
        <v>1200</v>
      </c>
      <c r="M29" s="115" t="n">
        <v>100</v>
      </c>
      <c r="N29" s="115" t="n">
        <v>0</v>
      </c>
      <c r="O29" s="116" t="inlineStr">
        <is>
          <t>900mm wheelbase; 6-arm carbon fibre</t>
        </is>
      </c>
      <c r="P29" s="115" t="inlineStr">
        <is>
          <t>Yes</t>
        </is>
      </c>
    </row>
    <row r="30" ht="21.75" customHeight="1" s="78">
      <c r="A30" s="117" t="inlineStr">
        <is>
          <t>FRAME_QUAD_450</t>
        </is>
      </c>
      <c r="B30" s="115" t="inlineStr">
        <is>
          <t>Frame/Structure</t>
        </is>
      </c>
      <c r="C30" s="95" t="inlineStr">
        <is>
          <t>Generic</t>
        </is>
      </c>
      <c r="D30" s="95" t="inlineStr">
        <is>
          <t>CF Quad 450mm</t>
        </is>
      </c>
      <c r="E30" s="139" t="n">
        <v>0</v>
      </c>
      <c r="F30" s="139" t="n">
        <v>0</v>
      </c>
      <c r="G30" s="139" t="n">
        <v>0</v>
      </c>
      <c r="H30" s="139" t="n">
        <v>0</v>
      </c>
      <c r="I30" s="139" t="n">
        <v>0</v>
      </c>
      <c r="J30" s="139" t="n">
        <v>0</v>
      </c>
      <c r="K30" s="139" t="n">
        <v>0</v>
      </c>
      <c r="L30" s="139" t="n">
        <v>380</v>
      </c>
      <c r="M30" s="95" t="n">
        <v>100</v>
      </c>
      <c r="N30" s="95" t="n">
        <v>0</v>
      </c>
      <c r="O30" s="119" t="inlineStr">
        <is>
          <t>450mm wheelbase; 4-arm carbon fibre</t>
        </is>
      </c>
      <c r="P30" s="95" t="inlineStr">
        <is>
          <t>Yes</t>
        </is>
      </c>
    </row>
    <row r="31" ht="21.75" customHeight="1" s="78">
      <c r="A31" s="114" t="inlineStr">
        <is>
          <t>FRAME_HEX_1200</t>
        </is>
      </c>
      <c r="B31" s="115" t="inlineStr">
        <is>
          <t>Frame/Structure</t>
        </is>
      </c>
      <c r="C31" s="115" t="inlineStr">
        <is>
          <t>Generic</t>
        </is>
      </c>
      <c r="D31" s="115" t="inlineStr">
        <is>
          <t>CF Hex 1200mm</t>
        </is>
      </c>
      <c r="E31" s="144" t="n">
        <v>0</v>
      </c>
      <c r="F31" s="144" t="n">
        <v>0</v>
      </c>
      <c r="G31" s="144" t="n">
        <v>0</v>
      </c>
      <c r="H31" s="144" t="n">
        <v>0</v>
      </c>
      <c r="I31" s="144" t="n">
        <v>0</v>
      </c>
      <c r="J31" s="144" t="n">
        <v>0</v>
      </c>
      <c r="K31" s="144" t="n">
        <v>0</v>
      </c>
      <c r="L31" s="144" t="n">
        <v>2200</v>
      </c>
      <c r="M31" s="115" t="n">
        <v>100</v>
      </c>
      <c r="N31" s="115" t="n">
        <v>0</v>
      </c>
      <c r="O31" s="116" t="inlineStr">
        <is>
          <t>1200mm heavy-lift hex; folding arms</t>
        </is>
      </c>
      <c r="P31" s="115" t="inlineStr">
        <is>
          <t>Yes</t>
        </is>
      </c>
    </row>
  </sheetData>
  <mergeCells count="1">
    <mergeCell ref="A1:P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77" min="1" max="1"/>
    <col width="20" customWidth="1" style="77" min="2" max="2"/>
    <col width="24" customWidth="1" style="77" min="3" max="3"/>
    <col width="5" customWidth="1" style="77" min="4" max="4"/>
    <col width="14" customWidth="1" style="77" min="5" max="7"/>
    <col width="36" customWidth="1" style="77" min="8" max="8"/>
  </cols>
  <sheetData>
    <row r="1" ht="36" customHeight="1" s="78">
      <c r="A1" s="99" t="inlineStr">
        <is>
          <t>🚁  UAV Configurations — Define your UAV by listing its equipment</t>
        </is>
      </c>
      <c r="B1" s="80" t="n"/>
      <c r="C1" s="80" t="n"/>
      <c r="D1" s="80" t="n"/>
    </row>
    <row r="2" ht="30" customHeight="1" s="78">
      <c r="A2" s="131" t="inlineStr">
        <is>
          <t>Add one row per equipment item per UAV.  UAV_ID groups equipment.  Qty × power values are used by the power profile calculator.  Frame rows (power=0) contribute only to weight.</t>
        </is>
      </c>
      <c r="B2" s="80" t="n"/>
      <c r="C2" s="80" t="n"/>
      <c r="D2" s="80" t="n"/>
    </row>
    <row r="3" ht="27.75" customHeight="1" s="78">
      <c r="A3" s="83" t="inlineStr">
        <is>
          <t>UAV_ID</t>
        </is>
      </c>
      <c r="B3" s="83" t="inlineStr">
        <is>
          <t>UAV_Name</t>
        </is>
      </c>
      <c r="C3" s="83" t="inlineStr">
        <is>
          <t>Equip_ID</t>
        </is>
      </c>
      <c r="D3" s="83" t="inlineStr">
        <is>
          <t>Qty</t>
        </is>
      </c>
      <c r="E3" s="83" t="inlineStr">
        <is>
          <t>Override_Hover_W</t>
        </is>
      </c>
      <c r="F3" s="83" t="inlineStr">
        <is>
          <t>Override_Cruise_W</t>
        </is>
      </c>
      <c r="G3" s="83" t="inlineStr">
        <is>
          <t>Override_Climb_W</t>
        </is>
      </c>
      <c r="H3" s="83" t="inlineStr">
        <is>
          <t>Notes</t>
        </is>
      </c>
    </row>
    <row r="4" ht="19.5" customHeight="1" s="78">
      <c r="A4" s="107" t="inlineStr">
        <is>
          <t>HEX_SURVEY_900</t>
        </is>
      </c>
      <c r="B4" s="94" t="inlineStr">
        <is>
          <t>Survey Hex 900</t>
        </is>
      </c>
      <c r="C4" s="95" t="inlineStr">
        <is>
          <t>MOT_T_MOTOR_MN4014</t>
        </is>
      </c>
      <c r="D4" s="95" t="n">
        <v>6</v>
      </c>
      <c r="E4" s="130" t="n"/>
      <c r="F4" s="130" t="n"/>
      <c r="G4" s="130" t="n"/>
      <c r="H4" s="145" t="inlineStr">
        <is>
          <t>6×motor+ESC</t>
        </is>
      </c>
    </row>
    <row r="5" ht="19.5" customHeight="1" s="78">
      <c r="A5" s="107" t="inlineStr">
        <is>
          <t>HEX_SURVEY_900</t>
        </is>
      </c>
      <c r="B5" s="94" t="inlineStr">
        <is>
          <t>Survey Hex 900</t>
        </is>
      </c>
      <c r="C5" s="94" t="inlineStr">
        <is>
          <t>ESC_FLAME_60A</t>
        </is>
      </c>
      <c r="D5" s="94" t="n">
        <v>6</v>
      </c>
      <c r="E5" s="130" t="n"/>
      <c r="F5" s="130" t="n"/>
      <c r="G5" s="130" t="n"/>
      <c r="H5" s="146" t="n"/>
    </row>
    <row r="6" ht="19.5" customHeight="1" s="78">
      <c r="A6" s="107" t="inlineStr">
        <is>
          <t>HEX_SURVEY_900</t>
        </is>
      </c>
      <c r="B6" s="94" t="inlineStr">
        <is>
          <t>Survey Hex 900</t>
        </is>
      </c>
      <c r="C6" s="95" t="inlineStr">
        <is>
          <t>FC_PIXHAWK_6C</t>
        </is>
      </c>
      <c r="D6" s="95" t="n">
        <v>1</v>
      </c>
      <c r="E6" s="130" t="n"/>
      <c r="F6" s="130" t="n"/>
      <c r="G6" s="130" t="n"/>
      <c r="H6" s="145" t="n"/>
    </row>
    <row r="7" ht="19.5" customHeight="1" s="78">
      <c r="A7" s="107" t="inlineStr">
        <is>
          <t>HEX_SURVEY_900</t>
        </is>
      </c>
      <c r="B7" s="94" t="inlineStr">
        <is>
          <t>Survey Hex 900</t>
        </is>
      </c>
      <c r="C7" s="94" t="inlineStr">
        <is>
          <t>GPS_HERE3</t>
        </is>
      </c>
      <c r="D7" s="94" t="n">
        <v>1</v>
      </c>
      <c r="E7" s="130" t="n"/>
      <c r="F7" s="130" t="n"/>
      <c r="G7" s="130" t="n"/>
      <c r="H7" s="146" t="n"/>
    </row>
    <row r="8" ht="19.5" customHeight="1" s="78">
      <c r="A8" s="107" t="inlineStr">
        <is>
          <t>HEX_SURVEY_900</t>
        </is>
      </c>
      <c r="B8" s="94" t="inlineStr">
        <is>
          <t>Survey Hex 900</t>
        </is>
      </c>
      <c r="C8" s="95" t="inlineStr">
        <is>
          <t>CAM_RGB_10MP</t>
        </is>
      </c>
      <c r="D8" s="95" t="n">
        <v>1</v>
      </c>
      <c r="E8" s="130" t="n"/>
      <c r="F8" s="130" t="n"/>
      <c r="G8" s="130" t="n"/>
      <c r="H8" s="145" t="n"/>
    </row>
    <row r="9" ht="19.5" customHeight="1" s="78">
      <c r="A9" s="107" t="inlineStr">
        <is>
          <t>HEX_SURVEY_900</t>
        </is>
      </c>
      <c r="B9" s="94" t="inlineStr">
        <is>
          <t>Survey Hex 900</t>
        </is>
      </c>
      <c r="C9" s="94" t="inlineStr">
        <is>
          <t>GIMBAL_3AXIS</t>
        </is>
      </c>
      <c r="D9" s="94" t="n">
        <v>1</v>
      </c>
      <c r="E9" s="130" t="n"/>
      <c r="F9" s="130" t="n"/>
      <c r="G9" s="130" t="n"/>
      <c r="H9" s="146" t="n"/>
    </row>
    <row r="10" ht="19.5" customHeight="1" s="78">
      <c r="A10" s="107" t="inlineStr">
        <is>
          <t>HEX_SURVEY_900</t>
        </is>
      </c>
      <c r="B10" s="94" t="inlineStr">
        <is>
          <t>Survey Hex 900</t>
        </is>
      </c>
      <c r="C10" s="95" t="inlineStr">
        <is>
          <t>RC_CROSSFIRE</t>
        </is>
      </c>
      <c r="D10" s="95" t="n">
        <v>1</v>
      </c>
      <c r="E10" s="130" t="n"/>
      <c r="F10" s="130" t="n"/>
      <c r="G10" s="130" t="n"/>
      <c r="H10" s="145" t="n"/>
    </row>
    <row r="11" ht="19.5" customHeight="1" s="78">
      <c r="A11" s="107" t="inlineStr">
        <is>
          <t>HEX_SURVEY_900</t>
        </is>
      </c>
      <c r="B11" s="94" t="inlineStr">
        <is>
          <t>Survey Hex 900</t>
        </is>
      </c>
      <c r="C11" s="94" t="inlineStr">
        <is>
          <t>TELEMETRY_900MHZ</t>
        </is>
      </c>
      <c r="D11" s="94" t="n">
        <v>1</v>
      </c>
      <c r="E11" s="130" t="n"/>
      <c r="F11" s="130" t="n"/>
      <c r="G11" s="130" t="n"/>
      <c r="H11" s="146" t="n"/>
    </row>
    <row r="12" ht="19.5" customHeight="1" s="78">
      <c r="A12" s="107" t="inlineStr">
        <is>
          <t>HEX_SURVEY_900</t>
        </is>
      </c>
      <c r="B12" s="94" t="inlineStr">
        <is>
          <t>Survey Hex 900</t>
        </is>
      </c>
      <c r="C12" s="95" t="inlineStr">
        <is>
          <t>POWER_MODULE_60A</t>
        </is>
      </c>
      <c r="D12" s="95" t="n">
        <v>1</v>
      </c>
      <c r="E12" s="130" t="n"/>
      <c r="F12" s="130" t="n"/>
      <c r="G12" s="130" t="n"/>
      <c r="H12" s="145" t="n"/>
    </row>
    <row r="13" ht="19.5" customHeight="1" s="78">
      <c r="A13" s="107" t="inlineStr">
        <is>
          <t>HEX_SURVEY_900</t>
        </is>
      </c>
      <c r="B13" s="94" t="inlineStr">
        <is>
          <t>Survey Hex 900</t>
        </is>
      </c>
      <c r="C13" s="94" t="inlineStr">
        <is>
          <t>BMS_ACTIVE</t>
        </is>
      </c>
      <c r="D13" s="94" t="n">
        <v>1</v>
      </c>
      <c r="E13" s="130" t="n"/>
      <c r="F13" s="130" t="n"/>
      <c r="G13" s="130" t="n"/>
      <c r="H13" s="146" t="n"/>
    </row>
    <row r="14" ht="19.5" customHeight="1" s="78">
      <c r="A14" s="107" t="inlineStr">
        <is>
          <t>HEX_SURVEY_900</t>
        </is>
      </c>
      <c r="B14" s="94" t="inlineStr">
        <is>
          <t>Survey Hex 900</t>
        </is>
      </c>
      <c r="C14" s="95" t="inlineStr">
        <is>
          <t>FRAME_HEX_900</t>
        </is>
      </c>
      <c r="D14" s="95" t="n">
        <v>1</v>
      </c>
      <c r="E14" s="130" t="n"/>
      <c r="F14" s="130" t="n"/>
      <c r="G14" s="130" t="n"/>
      <c r="H14" s="145" t="n"/>
    </row>
    <row r="15" ht="19.5" customHeight="1" s="78">
      <c r="A15" s="105" t="inlineStr">
        <is>
          <t>HEX_AG_1200</t>
        </is>
      </c>
      <c r="B15" s="97" t="inlineStr">
        <is>
          <t>Ag Heavy Lift</t>
        </is>
      </c>
      <c r="C15" s="97" t="inlineStr">
        <is>
          <t>MOT_HOBBYWING_X8</t>
        </is>
      </c>
      <c r="D15" s="97" t="n">
        <v>6</v>
      </c>
      <c r="E15" s="130" t="n"/>
      <c r="F15" s="130" t="n"/>
      <c r="G15" s="130" t="n"/>
      <c r="H15" s="147" t="inlineStr">
        <is>
          <t>Coaxial motor pairs</t>
        </is>
      </c>
    </row>
    <row r="16" ht="19.5" customHeight="1" s="78">
      <c r="A16" s="105" t="inlineStr">
        <is>
          <t>HEX_AG_1200</t>
        </is>
      </c>
      <c r="B16" s="97" t="inlineStr">
        <is>
          <t>Ag Heavy Lift</t>
        </is>
      </c>
      <c r="C16" s="95" t="inlineStr">
        <is>
          <t>ESC_FLAME_80A</t>
        </is>
      </c>
      <c r="D16" s="95" t="n">
        <v>6</v>
      </c>
      <c r="E16" s="130" t="n"/>
      <c r="F16" s="130" t="n"/>
      <c r="G16" s="130" t="n"/>
      <c r="H16" s="145" t="n"/>
    </row>
    <row r="17" ht="19.5" customHeight="1" s="78">
      <c r="A17" s="105" t="inlineStr">
        <is>
          <t>HEX_AG_1200</t>
        </is>
      </c>
      <c r="B17" s="97" t="inlineStr">
        <is>
          <t>Ag Heavy Lift</t>
        </is>
      </c>
      <c r="C17" s="97" t="inlineStr">
        <is>
          <t>FC_CUBE_ORANGE</t>
        </is>
      </c>
      <c r="D17" s="97" t="n">
        <v>1</v>
      </c>
      <c r="E17" s="130" t="n"/>
      <c r="F17" s="130" t="n"/>
      <c r="G17" s="130" t="n"/>
      <c r="H17" s="147" t="n"/>
    </row>
    <row r="18" ht="19.5" customHeight="1" s="78">
      <c r="A18" s="105" t="inlineStr">
        <is>
          <t>HEX_AG_1200</t>
        </is>
      </c>
      <c r="B18" s="97" t="inlineStr">
        <is>
          <t>Ag Heavy Lift</t>
        </is>
      </c>
      <c r="C18" s="95" t="inlineStr">
        <is>
          <t>GPS_F9P_RTK</t>
        </is>
      </c>
      <c r="D18" s="95" t="n">
        <v>1</v>
      </c>
      <c r="E18" s="130" t="n"/>
      <c r="F18" s="130" t="n"/>
      <c r="G18" s="130" t="n"/>
      <c r="H18" s="145" t="n"/>
    </row>
    <row r="19" ht="19.5" customHeight="1" s="78">
      <c r="A19" s="105" t="inlineStr">
        <is>
          <t>HEX_AG_1200</t>
        </is>
      </c>
      <c r="B19" s="97" t="inlineStr">
        <is>
          <t>Ag Heavy Lift</t>
        </is>
      </c>
      <c r="C19" s="97" t="inlineStr">
        <is>
          <t>MULTISPECTRAL_MX</t>
        </is>
      </c>
      <c r="D19" s="97" t="n">
        <v>1</v>
      </c>
      <c r="E19" s="130" t="n"/>
      <c r="F19" s="130" t="n"/>
      <c r="G19" s="130" t="n"/>
      <c r="H19" s="147" t="inlineStr">
        <is>
          <t>NDVI payload</t>
        </is>
      </c>
    </row>
    <row r="20" ht="19.5" customHeight="1" s="78">
      <c r="A20" s="105" t="inlineStr">
        <is>
          <t>HEX_AG_1200</t>
        </is>
      </c>
      <c r="B20" s="97" t="inlineStr">
        <is>
          <t>Ag Heavy Lift</t>
        </is>
      </c>
      <c r="C20" s="95" t="inlineStr">
        <is>
          <t>RC_CROSSFIRE</t>
        </is>
      </c>
      <c r="D20" s="95" t="n">
        <v>1</v>
      </c>
      <c r="E20" s="130" t="n"/>
      <c r="F20" s="130" t="n"/>
      <c r="G20" s="130" t="n"/>
      <c r="H20" s="145" t="n"/>
    </row>
    <row r="21" ht="19.5" customHeight="1" s="78">
      <c r="A21" s="105" t="inlineStr">
        <is>
          <t>HEX_AG_1200</t>
        </is>
      </c>
      <c r="B21" s="97" t="inlineStr">
        <is>
          <t>Ag Heavy Lift</t>
        </is>
      </c>
      <c r="C21" s="97" t="inlineStr">
        <is>
          <t>TELEMETRY_900MHZ</t>
        </is>
      </c>
      <c r="D21" s="97" t="n">
        <v>1</v>
      </c>
      <c r="E21" s="130" t="n"/>
      <c r="F21" s="130" t="n"/>
      <c r="G21" s="130" t="n"/>
      <c r="H21" s="147" t="n"/>
    </row>
    <row r="22" ht="19.5" customHeight="1" s="78">
      <c r="A22" s="105" t="inlineStr">
        <is>
          <t>HEX_AG_1200</t>
        </is>
      </c>
      <c r="B22" s="97" t="inlineStr">
        <is>
          <t>Ag Heavy Lift</t>
        </is>
      </c>
      <c r="C22" s="95" t="inlineStr">
        <is>
          <t>POWER_MODULE_60A</t>
        </is>
      </c>
      <c r="D22" s="95" t="n">
        <v>1</v>
      </c>
      <c r="E22" s="130" t="n"/>
      <c r="F22" s="130" t="n"/>
      <c r="G22" s="130" t="n"/>
      <c r="H22" s="145" t="n"/>
    </row>
    <row r="23" ht="19.5" customHeight="1" s="78">
      <c r="A23" s="105" t="inlineStr">
        <is>
          <t>HEX_AG_1200</t>
        </is>
      </c>
      <c r="B23" s="97" t="inlineStr">
        <is>
          <t>Ag Heavy Lift</t>
        </is>
      </c>
      <c r="C23" s="97" t="inlineStr">
        <is>
          <t>BMS_ACTIVE</t>
        </is>
      </c>
      <c r="D23" s="97" t="n">
        <v>1</v>
      </c>
      <c r="E23" s="130" t="n"/>
      <c r="F23" s="130" t="n"/>
      <c r="G23" s="130" t="n"/>
      <c r="H23" s="147" t="n"/>
    </row>
    <row r="24" ht="19.5" customHeight="1" s="78">
      <c r="A24" s="105" t="inlineStr">
        <is>
          <t>HEX_AG_1200</t>
        </is>
      </c>
      <c r="B24" s="97" t="inlineStr">
        <is>
          <t>Ag Heavy Lift</t>
        </is>
      </c>
      <c r="C24" s="95" t="inlineStr">
        <is>
          <t>FRAME_HEX_1200</t>
        </is>
      </c>
      <c r="D24" s="95" t="n">
        <v>1</v>
      </c>
      <c r="E24" s="130" t="n"/>
      <c r="F24" s="130" t="n"/>
      <c r="G24" s="130" t="n"/>
      <c r="H24" s="145" t="n"/>
    </row>
    <row r="25" ht="19.5" customHeight="1" s="78">
      <c r="A25" s="109" t="inlineStr">
        <is>
          <t>QUAD_INSPECT</t>
        </is>
      </c>
      <c r="B25" s="98" t="inlineStr">
        <is>
          <t>Inspection Quad</t>
        </is>
      </c>
      <c r="C25" s="98" t="inlineStr">
        <is>
          <t>MOT_SUNNYSKY_X2216</t>
        </is>
      </c>
      <c r="D25" s="98" t="n">
        <v>4</v>
      </c>
      <c r="E25" s="130" t="n"/>
      <c r="F25" s="130" t="n"/>
      <c r="G25" s="130" t="n"/>
      <c r="H25" s="148" t="n"/>
    </row>
    <row r="26" ht="19.5" customHeight="1" s="78">
      <c r="A26" s="109" t="inlineStr">
        <is>
          <t>QUAD_INSPECT</t>
        </is>
      </c>
      <c r="B26" s="98" t="inlineStr">
        <is>
          <t>Inspection Quad</t>
        </is>
      </c>
      <c r="C26" s="95" t="inlineStr">
        <is>
          <t>ESC_FLAME_60A</t>
        </is>
      </c>
      <c r="D26" s="95" t="n">
        <v>4</v>
      </c>
      <c r="E26" s="130" t="n"/>
      <c r="F26" s="130" t="n"/>
      <c r="G26" s="130" t="n"/>
      <c r="H26" s="145" t="n"/>
    </row>
    <row r="27" ht="19.5" customHeight="1" s="78">
      <c r="A27" s="109" t="inlineStr">
        <is>
          <t>QUAD_INSPECT</t>
        </is>
      </c>
      <c r="B27" s="98" t="inlineStr">
        <is>
          <t>Inspection Quad</t>
        </is>
      </c>
      <c r="C27" s="98" t="inlineStr">
        <is>
          <t>FC_PIXHAWK_6C</t>
        </is>
      </c>
      <c r="D27" s="98" t="n">
        <v>1</v>
      </c>
      <c r="E27" s="130" t="n"/>
      <c r="F27" s="130" t="n"/>
      <c r="G27" s="130" t="n"/>
      <c r="H27" s="148" t="n"/>
    </row>
    <row r="28" ht="19.5" customHeight="1" s="78">
      <c r="A28" s="109" t="inlineStr">
        <is>
          <t>QUAD_INSPECT</t>
        </is>
      </c>
      <c r="B28" s="98" t="inlineStr">
        <is>
          <t>Inspection Quad</t>
        </is>
      </c>
      <c r="C28" s="95" t="inlineStr">
        <is>
          <t>GPS_HERE3</t>
        </is>
      </c>
      <c r="D28" s="95" t="n">
        <v>1</v>
      </c>
      <c r="E28" s="130" t="n"/>
      <c r="F28" s="130" t="n"/>
      <c r="G28" s="130" t="n"/>
      <c r="H28" s="145" t="n"/>
    </row>
    <row r="29" ht="19.5" customHeight="1" s="78">
      <c r="A29" s="109" t="inlineStr">
        <is>
          <t>QUAD_INSPECT</t>
        </is>
      </c>
      <c r="B29" s="98" t="inlineStr">
        <is>
          <t>Inspection Quad</t>
        </is>
      </c>
      <c r="C29" s="98" t="inlineStr">
        <is>
          <t>THERMAL_VUE_PRO</t>
        </is>
      </c>
      <c r="D29" s="98" t="n">
        <v>1</v>
      </c>
      <c r="E29" s="130" t="n"/>
      <c r="F29" s="130" t="n"/>
      <c r="G29" s="130" t="n"/>
      <c r="H29" s="148" t="n"/>
    </row>
    <row r="30" ht="19.5" customHeight="1" s="78">
      <c r="A30" s="109" t="inlineStr">
        <is>
          <t>QUAD_INSPECT</t>
        </is>
      </c>
      <c r="B30" s="98" t="inlineStr">
        <is>
          <t>Inspection Quad</t>
        </is>
      </c>
      <c r="C30" s="95" t="inlineStr">
        <is>
          <t>GIMBAL_3AXIS</t>
        </is>
      </c>
      <c r="D30" s="95" t="n">
        <v>1</v>
      </c>
      <c r="E30" s="130" t="n"/>
      <c r="F30" s="130" t="n"/>
      <c r="G30" s="130" t="n"/>
      <c r="H30" s="145" t="n"/>
    </row>
    <row r="31" ht="19.5" customHeight="1" s="78">
      <c r="A31" s="109" t="inlineStr">
        <is>
          <t>QUAD_INSPECT</t>
        </is>
      </c>
      <c r="B31" s="98" t="inlineStr">
        <is>
          <t>Inspection Quad</t>
        </is>
      </c>
      <c r="C31" s="98" t="inlineStr">
        <is>
          <t>RC_CROSSFIRE</t>
        </is>
      </c>
      <c r="D31" s="98" t="n">
        <v>1</v>
      </c>
      <c r="E31" s="130" t="n"/>
      <c r="F31" s="130" t="n"/>
      <c r="G31" s="130" t="n"/>
      <c r="H31" s="148" t="n"/>
    </row>
    <row r="32" ht="19.5" customHeight="1" s="78">
      <c r="A32" s="109" t="inlineStr">
        <is>
          <t>QUAD_INSPECT</t>
        </is>
      </c>
      <c r="B32" s="98" t="inlineStr">
        <is>
          <t>Inspection Quad</t>
        </is>
      </c>
      <c r="C32" s="95" t="inlineStr">
        <is>
          <t>VIDEO_TX_5G8</t>
        </is>
      </c>
      <c r="D32" s="95" t="n">
        <v>1</v>
      </c>
      <c r="E32" s="130" t="n"/>
      <c r="F32" s="130" t="n"/>
      <c r="G32" s="130" t="n"/>
      <c r="H32" s="145" t="n"/>
    </row>
    <row r="33" ht="19.5" customHeight="1" s="78">
      <c r="A33" s="109" t="inlineStr">
        <is>
          <t>QUAD_INSPECT</t>
        </is>
      </c>
      <c r="B33" s="98" t="inlineStr">
        <is>
          <t>Inspection Quad</t>
        </is>
      </c>
      <c r="C33" s="98" t="inlineStr">
        <is>
          <t>POWER_MODULE_60A</t>
        </is>
      </c>
      <c r="D33" s="98" t="n">
        <v>1</v>
      </c>
      <c r="E33" s="130" t="n"/>
      <c r="F33" s="130" t="n"/>
      <c r="G33" s="130" t="n"/>
      <c r="H33" s="148" t="n"/>
    </row>
    <row r="34" ht="19.5" customHeight="1" s="78">
      <c r="A34" s="109" t="inlineStr">
        <is>
          <t>QUAD_INSPECT</t>
        </is>
      </c>
      <c r="B34" s="98" t="inlineStr">
        <is>
          <t>Inspection Quad</t>
        </is>
      </c>
      <c r="C34" s="95" t="inlineStr">
        <is>
          <t>FRAME_QUAD_450</t>
        </is>
      </c>
      <c r="D34" s="95" t="n">
        <v>1</v>
      </c>
      <c r="E34" s="130" t="n"/>
      <c r="F34" s="130" t="n"/>
      <c r="G34" s="130" t="n"/>
      <c r="H34" s="145" t="n"/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77" min="1" max="1"/>
    <col width="20" customWidth="1" style="77" min="2" max="2"/>
    <col width="18" customWidth="1" style="77" min="3" max="3"/>
    <col width="8" customWidth="1" style="77" min="4" max="4"/>
    <col width="18" customWidth="1" style="77" min="5" max="5"/>
    <col width="12" customWidth="1" style="77" min="6" max="6"/>
    <col width="9" customWidth="1" style="77" min="7" max="9"/>
    <col width="10" customWidth="1" style="77" min="10" max="10"/>
    <col width="12" customWidth="1" style="77" min="11" max="11"/>
    <col width="38" customWidth="1" style="77" min="12" max="12"/>
  </cols>
  <sheetData>
    <row r="1" ht="36" customHeight="1" s="78">
      <c r="A1" s="99" t="inlineStr">
        <is>
          <t>✈️  Mission Profiles — Flight Phase Definitions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</row>
    <row r="2" ht="36" customHeight="1" s="78">
      <c r="A2" s="131" t="inlineStr">
        <is>
          <t>Define each phase of a mission.  Duration_s and Power_W can be entered directly, OR leave Power_W blank and it is computed from UAV_Config × phase power multipliers in the simulation notebook.  Add as many phases and missions as needed.</t>
        </is>
      </c>
      <c r="B2" s="80" t="n"/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</row>
    <row r="3" ht="36" customHeight="1" s="78">
      <c r="A3" s="100" t="inlineStr">
        <is>
          <t>Mission_ID</t>
        </is>
      </c>
      <c r="B3" s="100" t="inlineStr">
        <is>
          <t>Mission_Name</t>
        </is>
      </c>
      <c r="C3" s="100" t="inlineStr">
        <is>
          <t>UAV_Config_ID</t>
        </is>
      </c>
      <c r="D3" s="100" t="inlineStr">
        <is>
          <t>Phase_Seq</t>
        </is>
      </c>
      <c r="E3" s="100" t="inlineStr">
        <is>
          <t>Phase_Name</t>
        </is>
      </c>
      <c r="F3" s="100" t="inlineStr">
        <is>
          <t>Phase_Type</t>
        </is>
      </c>
      <c r="G3" s="100" t="inlineStr">
        <is>
          <t>Duration_s</t>
        </is>
      </c>
      <c r="H3" s="100" t="inlineStr">
        <is>
          <t>Distance_m</t>
        </is>
      </c>
      <c r="I3" s="100" t="inlineStr">
        <is>
          <t>Altitude_m</t>
        </is>
      </c>
      <c r="J3" s="100" t="inlineStr">
        <is>
          <t>Airspeed_ms</t>
        </is>
      </c>
      <c r="K3" s="100" t="inlineStr">
        <is>
          <t>Power_Override_W</t>
        </is>
      </c>
      <c r="L3" s="100" t="inlineStr">
        <is>
          <t>Notes</t>
        </is>
      </c>
    </row>
    <row r="4" ht="19.5" customHeight="1" s="78">
      <c r="A4" s="107" t="inlineStr">
        <is>
          <t>SURVEY_STD</t>
        </is>
      </c>
      <c r="B4" s="94" t="inlineStr">
        <is>
          <t>Grid Survey 500m</t>
        </is>
      </c>
      <c r="C4" s="94" t="inlineStr">
        <is>
          <t>HEX_SURVEY_900</t>
        </is>
      </c>
      <c r="D4" s="88" t="n">
        <v>1</v>
      </c>
      <c r="E4" s="88" t="inlineStr">
        <is>
          <t>Pre-arm checks</t>
        </is>
      </c>
      <c r="F4" s="95" t="inlineStr">
        <is>
          <t>IDLE</t>
        </is>
      </c>
      <c r="G4" s="149" t="n">
        <v>60</v>
      </c>
      <c r="H4" s="149" t="n">
        <v>0</v>
      </c>
      <c r="I4" s="149" t="n">
        <v>0</v>
      </c>
      <c r="J4" s="149" t="n">
        <v>0</v>
      </c>
      <c r="K4" s="130" t="n"/>
      <c r="L4" s="129" t="inlineStr">
        <is>
          <t>Systems check; motors off</t>
        </is>
      </c>
    </row>
    <row r="5" ht="19.5" customHeight="1" s="78">
      <c r="A5" s="107" t="inlineStr">
        <is>
          <t>SURVEY_STD</t>
        </is>
      </c>
      <c r="B5" s="94" t="inlineStr">
        <is>
          <t>Grid Survey 500m</t>
        </is>
      </c>
      <c r="C5" s="94" t="inlineStr">
        <is>
          <t>HEX_SURVEY_900</t>
        </is>
      </c>
      <c r="D5" s="95" t="n">
        <v>2</v>
      </c>
      <c r="E5" s="95" t="inlineStr">
        <is>
          <t>Takeoff</t>
        </is>
      </c>
      <c r="F5" s="136" t="inlineStr">
        <is>
          <t>TAKEOFF</t>
        </is>
      </c>
      <c r="G5" s="150" t="n">
        <v>30</v>
      </c>
      <c r="H5" s="150" t="n">
        <v>0</v>
      </c>
      <c r="I5" s="150" t="n">
        <v>30</v>
      </c>
      <c r="J5" s="150" t="n">
        <v>3</v>
      </c>
      <c r="K5" s="130" t="n"/>
      <c r="L5" s="145" t="inlineStr">
        <is>
          <t>Vertical ascent to 30m AGL</t>
        </is>
      </c>
    </row>
    <row r="6" ht="19.5" customHeight="1" s="78">
      <c r="A6" s="107" t="inlineStr">
        <is>
          <t>SURVEY_STD</t>
        </is>
      </c>
      <c r="B6" s="94" t="inlineStr">
        <is>
          <t>Grid Survey 500m</t>
        </is>
      </c>
      <c r="C6" s="94" t="inlineStr">
        <is>
          <t>HEX_SURVEY_900</t>
        </is>
      </c>
      <c r="D6" s="88" t="n">
        <v>3</v>
      </c>
      <c r="E6" s="88" t="inlineStr">
        <is>
          <t>Climb to alt</t>
        </is>
      </c>
      <c r="F6" s="151" t="inlineStr">
        <is>
          <t>CLIMB</t>
        </is>
      </c>
      <c r="G6" s="149" t="n">
        <v>60</v>
      </c>
      <c r="H6" s="149" t="n">
        <v>200</v>
      </c>
      <c r="I6" s="149" t="n">
        <v>100</v>
      </c>
      <c r="J6" s="149" t="n">
        <v>5</v>
      </c>
      <c r="K6" s="130" t="n"/>
      <c r="L6" s="129" t="inlineStr">
        <is>
          <t>Ascend to survey altitude 100m</t>
        </is>
      </c>
    </row>
    <row r="7" ht="19.5" customHeight="1" s="78">
      <c r="A7" s="107" t="inlineStr">
        <is>
          <t>SURVEY_STD</t>
        </is>
      </c>
      <c r="B7" s="94" t="inlineStr">
        <is>
          <t>Grid Survey 500m</t>
        </is>
      </c>
      <c r="C7" s="94" t="inlineStr">
        <is>
          <t>HEX_SURVEY_900</t>
        </is>
      </c>
      <c r="D7" s="95" t="n">
        <v>4</v>
      </c>
      <c r="E7" s="95" t="inlineStr">
        <is>
          <t>Survey grid</t>
        </is>
      </c>
      <c r="F7" s="97" t="inlineStr">
        <is>
          <t>CRUISE</t>
        </is>
      </c>
      <c r="G7" s="150" t="n">
        <v>900</v>
      </c>
      <c r="H7" s="150" t="n">
        <v>4500</v>
      </c>
      <c r="I7" s="150" t="n">
        <v>100</v>
      </c>
      <c r="J7" s="150" t="n">
        <v>8</v>
      </c>
      <c r="K7" s="130" t="n"/>
      <c r="L7" s="145" t="inlineStr">
        <is>
          <t>Lawnmower pattern; camera active</t>
        </is>
      </c>
    </row>
    <row r="8" ht="19.5" customHeight="1" s="78">
      <c r="A8" s="107" t="inlineStr">
        <is>
          <t>SURVEY_STD</t>
        </is>
      </c>
      <c r="B8" s="94" t="inlineStr">
        <is>
          <t>Grid Survey 500m</t>
        </is>
      </c>
      <c r="C8" s="94" t="inlineStr">
        <is>
          <t>HEX_SURVEY_900</t>
        </is>
      </c>
      <c r="D8" s="88" t="n">
        <v>5</v>
      </c>
      <c r="E8" s="88" t="inlineStr">
        <is>
          <t>Hover waypoint</t>
        </is>
      </c>
      <c r="F8" s="94" t="inlineStr">
        <is>
          <t>HOVER</t>
        </is>
      </c>
      <c r="G8" s="149" t="n">
        <v>30</v>
      </c>
      <c r="H8" s="149" t="n">
        <v>0</v>
      </c>
      <c r="I8" s="149" t="n">
        <v>100</v>
      </c>
      <c r="J8" s="149" t="n">
        <v>0</v>
      </c>
      <c r="K8" s="130" t="n"/>
      <c r="L8" s="129" t="inlineStr">
        <is>
          <t>End-of-line turn pause</t>
        </is>
      </c>
    </row>
    <row r="9" ht="19.5" customHeight="1" s="78">
      <c r="A9" s="107" t="inlineStr">
        <is>
          <t>SURVEY_STD</t>
        </is>
      </c>
      <c r="B9" s="94" t="inlineStr">
        <is>
          <t>Grid Survey 500m</t>
        </is>
      </c>
      <c r="C9" s="94" t="inlineStr">
        <is>
          <t>HEX_SURVEY_900</t>
        </is>
      </c>
      <c r="D9" s="95" t="n">
        <v>6</v>
      </c>
      <c r="E9" s="95" t="inlineStr">
        <is>
          <t>Return home</t>
        </is>
      </c>
      <c r="F9" s="97" t="inlineStr">
        <is>
          <t>CRUISE</t>
        </is>
      </c>
      <c r="G9" s="150" t="n">
        <v>300</v>
      </c>
      <c r="H9" s="150" t="n">
        <v>2000</v>
      </c>
      <c r="I9" s="150" t="n">
        <v>100</v>
      </c>
      <c r="J9" s="150" t="n">
        <v>8</v>
      </c>
      <c r="K9" s="130" t="n"/>
      <c r="L9" s="145" t="inlineStr">
        <is>
          <t>RTH cruise</t>
        </is>
      </c>
    </row>
    <row r="10" ht="19.5" customHeight="1" s="78">
      <c r="A10" s="107" t="inlineStr">
        <is>
          <t>SURVEY_STD</t>
        </is>
      </c>
      <c r="B10" s="94" t="inlineStr">
        <is>
          <t>Grid Survey 500m</t>
        </is>
      </c>
      <c r="C10" s="94" t="inlineStr">
        <is>
          <t>HEX_SURVEY_900</t>
        </is>
      </c>
      <c r="D10" s="88" t="n">
        <v>7</v>
      </c>
      <c r="E10" s="88" t="inlineStr">
        <is>
          <t>Descend</t>
        </is>
      </c>
      <c r="F10" s="115" t="inlineStr">
        <is>
          <t>DESCEND</t>
        </is>
      </c>
      <c r="G10" s="149" t="n">
        <v>60</v>
      </c>
      <c r="H10" s="149" t="n">
        <v>0</v>
      </c>
      <c r="I10" s="149" t="n">
        <v>30</v>
      </c>
      <c r="J10" s="149" t="n">
        <v>3</v>
      </c>
      <c r="K10" s="130" t="n"/>
      <c r="L10" s="129" t="inlineStr">
        <is>
          <t>Gradual descent to 30m</t>
        </is>
      </c>
    </row>
    <row r="11" ht="19.5" customHeight="1" s="78">
      <c r="A11" s="107" t="inlineStr">
        <is>
          <t>SURVEY_STD</t>
        </is>
      </c>
      <c r="B11" s="94" t="inlineStr">
        <is>
          <t>Grid Survey 500m</t>
        </is>
      </c>
      <c r="C11" s="94" t="inlineStr">
        <is>
          <t>HEX_SURVEY_900</t>
        </is>
      </c>
      <c r="D11" s="95" t="n">
        <v>8</v>
      </c>
      <c r="E11" s="95" t="inlineStr">
        <is>
          <t>Land</t>
        </is>
      </c>
      <c r="F11" s="98" t="inlineStr">
        <is>
          <t>LAND</t>
        </is>
      </c>
      <c r="G11" s="150" t="n">
        <v>30</v>
      </c>
      <c r="H11" s="150" t="n">
        <v>0</v>
      </c>
      <c r="I11" s="150" t="n">
        <v>0</v>
      </c>
      <c r="J11" s="150" t="n">
        <v>1</v>
      </c>
      <c r="K11" s="130" t="n"/>
      <c r="L11" s="145" t="inlineStr">
        <is>
          <t>Slow landing</t>
        </is>
      </c>
    </row>
    <row r="12" ht="19.5" customHeight="1" s="78">
      <c r="A12" s="105" t="inlineStr">
        <is>
          <t>AG_SPRAY</t>
        </is>
      </c>
      <c r="B12" s="97" t="inlineStr">
        <is>
          <t>Ag Spray 10ha</t>
        </is>
      </c>
      <c r="C12" s="97" t="inlineStr">
        <is>
          <t>HEX_AG_1200</t>
        </is>
      </c>
      <c r="D12" s="88" t="n">
        <v>1</v>
      </c>
      <c r="E12" s="88" t="inlineStr">
        <is>
          <t>Pre-arm checks</t>
        </is>
      </c>
      <c r="F12" s="95" t="inlineStr">
        <is>
          <t>IDLE</t>
        </is>
      </c>
      <c r="G12" s="149" t="n">
        <v>90</v>
      </c>
      <c r="H12" s="149" t="n">
        <v>0</v>
      </c>
      <c r="I12" s="149" t="n">
        <v>0</v>
      </c>
      <c r="J12" s="149" t="n">
        <v>0</v>
      </c>
      <c r="K12" s="130" t="n"/>
      <c r="L12" s="129" t="inlineStr">
        <is>
          <t>Payload check; pump prime</t>
        </is>
      </c>
    </row>
    <row r="13" ht="19.5" customHeight="1" s="78">
      <c r="A13" s="105" t="inlineStr">
        <is>
          <t>AG_SPRAY</t>
        </is>
      </c>
      <c r="B13" s="97" t="inlineStr">
        <is>
          <t>Ag Spray 10ha</t>
        </is>
      </c>
      <c r="C13" s="97" t="inlineStr">
        <is>
          <t>HEX_AG_1200</t>
        </is>
      </c>
      <c r="D13" s="95" t="n">
        <v>2</v>
      </c>
      <c r="E13" s="95" t="inlineStr">
        <is>
          <t>Takeoff</t>
        </is>
      </c>
      <c r="F13" s="136" t="inlineStr">
        <is>
          <t>TAKEOFF</t>
        </is>
      </c>
      <c r="G13" s="150" t="n">
        <v>20</v>
      </c>
      <c r="H13" s="150" t="n">
        <v>0</v>
      </c>
      <c r="I13" s="150" t="n">
        <v>5</v>
      </c>
      <c r="J13" s="150" t="n">
        <v>2</v>
      </c>
      <c r="K13" s="130" t="n"/>
      <c r="L13" s="145" t="inlineStr">
        <is>
          <t>Low altitude takeoff</t>
        </is>
      </c>
    </row>
    <row r="14" ht="19.5" customHeight="1" s="78">
      <c r="A14" s="105" t="inlineStr">
        <is>
          <t>AG_SPRAY</t>
        </is>
      </c>
      <c r="B14" s="97" t="inlineStr">
        <is>
          <t>Ag Spray 10ha</t>
        </is>
      </c>
      <c r="C14" s="97" t="inlineStr">
        <is>
          <t>HEX_AG_1200</t>
        </is>
      </c>
      <c r="D14" s="88" t="n">
        <v>3</v>
      </c>
      <c r="E14" s="88" t="inlineStr">
        <is>
          <t>Transit</t>
        </is>
      </c>
      <c r="F14" s="97" t="inlineStr">
        <is>
          <t>CRUISE</t>
        </is>
      </c>
      <c r="G14" s="149" t="n">
        <v>120</v>
      </c>
      <c r="H14" s="149" t="n">
        <v>600</v>
      </c>
      <c r="I14" s="149" t="n">
        <v>30</v>
      </c>
      <c r="J14" s="149" t="n">
        <v>6</v>
      </c>
      <c r="K14" s="130" t="n"/>
      <c r="L14" s="129" t="inlineStr">
        <is>
          <t>Transit to field boundary</t>
        </is>
      </c>
    </row>
    <row r="15" ht="19.5" customHeight="1" s="78">
      <c r="A15" s="105" t="inlineStr">
        <is>
          <t>AG_SPRAY</t>
        </is>
      </c>
      <c r="B15" s="97" t="inlineStr">
        <is>
          <t>Ag Spray 10ha</t>
        </is>
      </c>
      <c r="C15" s="97" t="inlineStr">
        <is>
          <t>HEX_AG_1200</t>
        </is>
      </c>
      <c r="D15" s="95" t="n">
        <v>4</v>
      </c>
      <c r="E15" s="95" t="inlineStr">
        <is>
          <t>Spray pass 1</t>
        </is>
      </c>
      <c r="F15" s="97" t="inlineStr">
        <is>
          <t>CRUISE</t>
        </is>
      </c>
      <c r="G15" s="150" t="n">
        <v>240</v>
      </c>
      <c r="H15" s="150" t="n">
        <v>480</v>
      </c>
      <c r="I15" s="150" t="n">
        <v>3</v>
      </c>
      <c r="J15" s="150" t="n">
        <v>2</v>
      </c>
      <c r="K15" s="130" t="n"/>
      <c r="L15" s="145" t="inlineStr">
        <is>
          <t>Low-altitude spray; 3m AGL</t>
        </is>
      </c>
    </row>
    <row r="16" ht="19.5" customHeight="1" s="78">
      <c r="A16" s="105" t="inlineStr">
        <is>
          <t>AG_SPRAY</t>
        </is>
      </c>
      <c r="B16" s="97" t="inlineStr">
        <is>
          <t>Ag Spray 10ha</t>
        </is>
      </c>
      <c r="C16" s="97" t="inlineStr">
        <is>
          <t>HEX_AG_1200</t>
        </is>
      </c>
      <c r="D16" s="88" t="n">
        <v>5</v>
      </c>
      <c r="E16" s="88" t="inlineStr">
        <is>
          <t>Turn hover</t>
        </is>
      </c>
      <c r="F16" s="94" t="inlineStr">
        <is>
          <t>HOVER</t>
        </is>
      </c>
      <c r="G16" s="149" t="n">
        <v>15</v>
      </c>
      <c r="H16" s="149" t="n">
        <v>0</v>
      </c>
      <c r="I16" s="149" t="n">
        <v>3</v>
      </c>
      <c r="J16" s="149" t="n">
        <v>0</v>
      </c>
      <c r="K16" s="130" t="n"/>
      <c r="L16" s="129" t="inlineStr">
        <is>
          <t>End-of-row turn</t>
        </is>
      </c>
    </row>
    <row r="17" ht="19.5" customHeight="1" s="78">
      <c r="A17" s="105" t="inlineStr">
        <is>
          <t>AG_SPRAY</t>
        </is>
      </c>
      <c r="B17" s="97" t="inlineStr">
        <is>
          <t>Ag Spray 10ha</t>
        </is>
      </c>
      <c r="C17" s="97" t="inlineStr">
        <is>
          <t>HEX_AG_1200</t>
        </is>
      </c>
      <c r="D17" s="95" t="n">
        <v>6</v>
      </c>
      <c r="E17" s="95" t="inlineStr">
        <is>
          <t>Spray pass 2</t>
        </is>
      </c>
      <c r="F17" s="97" t="inlineStr">
        <is>
          <t>CRUISE</t>
        </is>
      </c>
      <c r="G17" s="150" t="n">
        <v>240</v>
      </c>
      <c r="H17" s="150" t="n">
        <v>480</v>
      </c>
      <c r="I17" s="150" t="n">
        <v>3</v>
      </c>
      <c r="J17" s="150" t="n">
        <v>2</v>
      </c>
      <c r="K17" s="130" t="n"/>
      <c r="L17" s="145" t="inlineStr">
        <is>
          <t>Low-altitude spray</t>
        </is>
      </c>
    </row>
    <row r="18" ht="19.5" customHeight="1" s="78">
      <c r="A18" s="105" t="inlineStr">
        <is>
          <t>AG_SPRAY</t>
        </is>
      </c>
      <c r="B18" s="97" t="inlineStr">
        <is>
          <t>Ag Spray 10ha</t>
        </is>
      </c>
      <c r="C18" s="97" t="inlineStr">
        <is>
          <t>HEX_AG_1200</t>
        </is>
      </c>
      <c r="D18" s="88" t="n">
        <v>7</v>
      </c>
      <c r="E18" s="88" t="inlineStr">
        <is>
          <t>Spray pass 3</t>
        </is>
      </c>
      <c r="F18" s="97" t="inlineStr">
        <is>
          <t>CRUISE</t>
        </is>
      </c>
      <c r="G18" s="149" t="n">
        <v>240</v>
      </c>
      <c r="H18" s="149" t="n">
        <v>480</v>
      </c>
      <c r="I18" s="149" t="n">
        <v>3</v>
      </c>
      <c r="J18" s="149" t="n">
        <v>2</v>
      </c>
      <c r="K18" s="130" t="n"/>
      <c r="L18" s="129" t="inlineStr">
        <is>
          <t>Low-altitude spray</t>
        </is>
      </c>
    </row>
    <row r="19" ht="19.5" customHeight="1" s="78">
      <c r="A19" s="105" t="inlineStr">
        <is>
          <t>AG_SPRAY</t>
        </is>
      </c>
      <c r="B19" s="97" t="inlineStr">
        <is>
          <t>Ag Spray 10ha</t>
        </is>
      </c>
      <c r="C19" s="97" t="inlineStr">
        <is>
          <t>HEX_AG_1200</t>
        </is>
      </c>
      <c r="D19" s="95" t="n">
        <v>8</v>
      </c>
      <c r="E19" s="95" t="inlineStr">
        <is>
          <t>Return home</t>
        </is>
      </c>
      <c r="F19" s="97" t="inlineStr">
        <is>
          <t>CRUISE</t>
        </is>
      </c>
      <c r="G19" s="150" t="n">
        <v>120</v>
      </c>
      <c r="H19" s="150" t="n">
        <v>600</v>
      </c>
      <c r="I19" s="150" t="n">
        <v>30</v>
      </c>
      <c r="J19" s="150" t="n">
        <v>6</v>
      </c>
      <c r="K19" s="130" t="n"/>
      <c r="L19" s="145" t="inlineStr">
        <is>
          <t>Return to base</t>
        </is>
      </c>
    </row>
    <row r="20" ht="19.5" customHeight="1" s="78">
      <c r="A20" s="105" t="inlineStr">
        <is>
          <t>AG_SPRAY</t>
        </is>
      </c>
      <c r="B20" s="97" t="inlineStr">
        <is>
          <t>Ag Spray 10ha</t>
        </is>
      </c>
      <c r="C20" s="97" t="inlineStr">
        <is>
          <t>HEX_AG_1200</t>
        </is>
      </c>
      <c r="D20" s="88" t="n">
        <v>9</v>
      </c>
      <c r="E20" s="88" t="inlineStr">
        <is>
          <t>Land</t>
        </is>
      </c>
      <c r="F20" s="98" t="inlineStr">
        <is>
          <t>LAND</t>
        </is>
      </c>
      <c r="G20" s="149" t="n">
        <v>25</v>
      </c>
      <c r="H20" s="149" t="n">
        <v>0</v>
      </c>
      <c r="I20" s="149" t="n">
        <v>0</v>
      </c>
      <c r="J20" s="149" t="n">
        <v>1</v>
      </c>
      <c r="K20" s="130" t="n"/>
      <c r="L20" s="129" t="n"/>
    </row>
    <row r="21" ht="19.5" customHeight="1" s="78">
      <c r="A21" s="109" t="inlineStr">
        <is>
          <t>INSPECT_STD</t>
        </is>
      </c>
      <c r="B21" s="98" t="inlineStr">
        <is>
          <t>Tower Inspection</t>
        </is>
      </c>
      <c r="C21" s="98" t="inlineStr">
        <is>
          <t>QUAD_INSPECT</t>
        </is>
      </c>
      <c r="D21" s="95" t="n">
        <v>1</v>
      </c>
      <c r="E21" s="95" t="inlineStr">
        <is>
          <t>Pre-arm</t>
        </is>
      </c>
      <c r="F21" s="95" t="inlineStr">
        <is>
          <t>IDLE</t>
        </is>
      </c>
      <c r="G21" s="150" t="n">
        <v>60</v>
      </c>
      <c r="H21" s="150" t="n">
        <v>0</v>
      </c>
      <c r="I21" s="150" t="n">
        <v>0</v>
      </c>
      <c r="J21" s="150" t="n">
        <v>0</v>
      </c>
      <c r="K21" s="130" t="n"/>
      <c r="L21" s="145" t="n"/>
    </row>
    <row r="22" ht="19.5" customHeight="1" s="78">
      <c r="A22" s="109" t="inlineStr">
        <is>
          <t>INSPECT_STD</t>
        </is>
      </c>
      <c r="B22" s="98" t="inlineStr">
        <is>
          <t>Tower Inspection</t>
        </is>
      </c>
      <c r="C22" s="98" t="inlineStr">
        <is>
          <t>QUAD_INSPECT</t>
        </is>
      </c>
      <c r="D22" s="88" t="n">
        <v>2</v>
      </c>
      <c r="E22" s="88" t="inlineStr">
        <is>
          <t>Takeoff</t>
        </is>
      </c>
      <c r="F22" s="136" t="inlineStr">
        <is>
          <t>TAKEOFF</t>
        </is>
      </c>
      <c r="G22" s="149" t="n">
        <v>20</v>
      </c>
      <c r="H22" s="149" t="n">
        <v>0</v>
      </c>
      <c r="I22" s="149" t="n">
        <v>10</v>
      </c>
      <c r="J22" s="149" t="n">
        <v>2</v>
      </c>
      <c r="K22" s="130" t="n"/>
      <c r="L22" s="129" t="n"/>
    </row>
    <row r="23" ht="19.5" customHeight="1" s="78">
      <c r="A23" s="109" t="inlineStr">
        <is>
          <t>INSPECT_STD</t>
        </is>
      </c>
      <c r="B23" s="98" t="inlineStr">
        <is>
          <t>Tower Inspection</t>
        </is>
      </c>
      <c r="C23" s="98" t="inlineStr">
        <is>
          <t>QUAD_INSPECT</t>
        </is>
      </c>
      <c r="D23" s="95" t="n">
        <v>3</v>
      </c>
      <c r="E23" s="95" t="inlineStr">
        <is>
          <t>Climb</t>
        </is>
      </c>
      <c r="F23" s="151" t="inlineStr">
        <is>
          <t>CLIMB</t>
        </is>
      </c>
      <c r="G23" s="150" t="n">
        <v>90</v>
      </c>
      <c r="H23" s="150" t="n">
        <v>0</v>
      </c>
      <c r="I23" s="150" t="n">
        <v>80</v>
      </c>
      <c r="J23" s="150" t="n">
        <v>3</v>
      </c>
      <c r="K23" s="130" t="n"/>
      <c r="L23" s="145" t="inlineStr">
        <is>
          <t>Ascend to tower height</t>
        </is>
      </c>
    </row>
    <row r="24" ht="19.5" customHeight="1" s="78">
      <c r="A24" s="109" t="inlineStr">
        <is>
          <t>INSPECT_STD</t>
        </is>
      </c>
      <c r="B24" s="98" t="inlineStr">
        <is>
          <t>Tower Inspection</t>
        </is>
      </c>
      <c r="C24" s="98" t="inlineStr">
        <is>
          <t>QUAD_INSPECT</t>
        </is>
      </c>
      <c r="D24" s="88" t="n">
        <v>4</v>
      </c>
      <c r="E24" s="88" t="inlineStr">
        <is>
          <t>Orbit hover</t>
        </is>
      </c>
      <c r="F24" s="94" t="inlineStr">
        <is>
          <t>HOVER</t>
        </is>
      </c>
      <c r="G24" s="149" t="n">
        <v>300</v>
      </c>
      <c r="H24" s="149" t="n">
        <v>0</v>
      </c>
      <c r="I24" s="149" t="n">
        <v>80</v>
      </c>
      <c r="J24" s="149" t="n">
        <v>0</v>
      </c>
      <c r="K24" s="130" t="n"/>
      <c r="L24" s="129" t="inlineStr">
        <is>
          <t>Stationary orbit; camera active</t>
        </is>
      </c>
    </row>
    <row r="25" ht="19.5" customHeight="1" s="78">
      <c r="A25" s="109" t="inlineStr">
        <is>
          <t>INSPECT_STD</t>
        </is>
      </c>
      <c r="B25" s="98" t="inlineStr">
        <is>
          <t>Tower Inspection</t>
        </is>
      </c>
      <c r="C25" s="98" t="inlineStr">
        <is>
          <t>QUAD_INSPECT</t>
        </is>
      </c>
      <c r="D25" s="95" t="n">
        <v>5</v>
      </c>
      <c r="E25" s="95" t="inlineStr">
        <is>
          <t>Slow orbit</t>
        </is>
      </c>
      <c r="F25" s="97" t="inlineStr">
        <is>
          <t>CRUISE</t>
        </is>
      </c>
      <c r="G25" s="150" t="n">
        <v>240</v>
      </c>
      <c r="H25" s="150" t="n">
        <v>300</v>
      </c>
      <c r="I25" s="150" t="n">
        <v>80</v>
      </c>
      <c r="J25" s="150" t="n">
        <v>1</v>
      </c>
      <c r="K25" s="130" t="n"/>
      <c r="L25" s="145" t="inlineStr">
        <is>
          <t>Slow circular orbit</t>
        </is>
      </c>
    </row>
    <row r="26" ht="19.5" customHeight="1" s="78">
      <c r="A26" s="109" t="inlineStr">
        <is>
          <t>INSPECT_STD</t>
        </is>
      </c>
      <c r="B26" s="98" t="inlineStr">
        <is>
          <t>Tower Inspection</t>
        </is>
      </c>
      <c r="C26" s="98" t="inlineStr">
        <is>
          <t>QUAD_INSPECT</t>
        </is>
      </c>
      <c r="D26" s="88" t="n">
        <v>6</v>
      </c>
      <c r="E26" s="88" t="inlineStr">
        <is>
          <t>Reposition</t>
        </is>
      </c>
      <c r="F26" s="94" t="inlineStr">
        <is>
          <t>HOVER</t>
        </is>
      </c>
      <c r="G26" s="149" t="n">
        <v>60</v>
      </c>
      <c r="H26" s="149" t="n">
        <v>0</v>
      </c>
      <c r="I26" s="149" t="n">
        <v>60</v>
      </c>
      <c r="J26" s="149" t="n">
        <v>0</v>
      </c>
      <c r="K26" s="130" t="n"/>
      <c r="L26" s="129" t="inlineStr">
        <is>
          <t>Move to lower inspection point</t>
        </is>
      </c>
    </row>
    <row r="27" ht="19.5" customHeight="1" s="78">
      <c r="A27" s="109" t="inlineStr">
        <is>
          <t>INSPECT_STD</t>
        </is>
      </c>
      <c r="B27" s="98" t="inlineStr">
        <is>
          <t>Tower Inspection</t>
        </is>
      </c>
      <c r="C27" s="98" t="inlineStr">
        <is>
          <t>QUAD_INSPECT</t>
        </is>
      </c>
      <c r="D27" s="95" t="n">
        <v>7</v>
      </c>
      <c r="E27" s="95" t="inlineStr">
        <is>
          <t>Descend</t>
        </is>
      </c>
      <c r="F27" s="115" t="inlineStr">
        <is>
          <t>DESCEND</t>
        </is>
      </c>
      <c r="G27" s="150" t="n">
        <v>60</v>
      </c>
      <c r="H27" s="150" t="n">
        <v>0</v>
      </c>
      <c r="I27" s="150" t="n">
        <v>10</v>
      </c>
      <c r="J27" s="150" t="n">
        <v>2</v>
      </c>
      <c r="K27" s="130" t="n"/>
      <c r="L27" s="145" t="n"/>
    </row>
    <row r="28" ht="19.5" customHeight="1" s="78">
      <c r="A28" s="109" t="inlineStr">
        <is>
          <t>INSPECT_STD</t>
        </is>
      </c>
      <c r="B28" s="98" t="inlineStr">
        <is>
          <t>Tower Inspection</t>
        </is>
      </c>
      <c r="C28" s="98" t="inlineStr">
        <is>
          <t>QUAD_INSPECT</t>
        </is>
      </c>
      <c r="D28" s="88" t="n">
        <v>8</v>
      </c>
      <c r="E28" s="88" t="inlineStr">
        <is>
          <t>Land</t>
        </is>
      </c>
      <c r="F28" s="98" t="inlineStr">
        <is>
          <t>LAND</t>
        </is>
      </c>
      <c r="G28" s="149" t="n">
        <v>20</v>
      </c>
      <c r="H28" s="149" t="n">
        <v>0</v>
      </c>
      <c r="I28" s="149" t="n">
        <v>0</v>
      </c>
      <c r="J28" s="149" t="n">
        <v>1</v>
      </c>
      <c r="K28" s="130" t="n"/>
      <c r="L28" s="129" t="n"/>
    </row>
    <row r="31" ht="19.5" customHeight="1" s="78">
      <c r="A31" s="127" t="inlineStr">
        <is>
          <t>Phase Type Legend</t>
        </is>
      </c>
      <c r="B31" s="80" t="n"/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</row>
    <row r="32" ht="18" customHeight="1" s="78">
      <c r="A32" s="117" t="inlineStr">
        <is>
          <t>IDLE</t>
        </is>
      </c>
      <c r="B32" s="152" t="inlineStr">
        <is>
          <t>Pre-arm / post-land; motors idle or off; minimum power</t>
        </is>
      </c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</row>
    <row r="33" ht="18" customHeight="1" s="78">
      <c r="A33" s="135" t="inlineStr">
        <is>
          <t>TAKEOFF</t>
        </is>
      </c>
      <c r="B33" s="152" t="inlineStr">
        <is>
          <t>Vertical takeoff; high motor demand; brief duration</t>
        </is>
      </c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</row>
    <row r="34" ht="18" customHeight="1" s="78">
      <c r="A34" s="153" t="inlineStr">
        <is>
          <t>CLIMB</t>
        </is>
      </c>
      <c r="B34" s="152" t="inlineStr">
        <is>
          <t>Ascending to mission altitude; medium-high power</t>
        </is>
      </c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</row>
    <row r="35" ht="18" customHeight="1" s="78">
      <c r="A35" s="105" t="inlineStr">
        <is>
          <t>CRUISE</t>
        </is>
      </c>
      <c r="B35" s="152" t="inlineStr">
        <is>
          <t>Horizontal flight; most efficient phase</t>
        </is>
      </c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</row>
    <row r="36" ht="18" customHeight="1" s="78">
      <c r="A36" s="107" t="inlineStr">
        <is>
          <t>HOVER</t>
        </is>
      </c>
      <c r="B36" s="152" t="inlineStr">
        <is>
          <t>Stationary flight; high power; avoid extended hover</t>
        </is>
      </c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</row>
    <row r="37" ht="18" customHeight="1" s="78">
      <c r="A37" s="114" t="inlineStr">
        <is>
          <t>DESCEND</t>
        </is>
      </c>
      <c r="B37" s="152" t="inlineStr">
        <is>
          <t>Controlled descent; lower power than hover</t>
        </is>
      </c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</row>
    <row r="38" ht="18" customHeight="1" s="78">
      <c r="A38" s="109" t="inlineStr">
        <is>
          <t>LAND</t>
        </is>
      </c>
      <c r="B38" s="152" t="inlineStr">
        <is>
          <t>Final approach and touchdown</t>
        </is>
      </c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</row>
    <row r="39" ht="18" customHeight="1" s="78">
      <c r="A39" s="111" t="inlineStr">
        <is>
          <t>PAYLOAD_OPS</t>
        </is>
      </c>
      <c r="B39" s="152" t="inlineStr">
        <is>
          <t>Payload-specific operation (spray pump, winch, etc.)</t>
        </is>
      </c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</row>
    <row r="40" ht="18" customHeight="1" s="78">
      <c r="A40" s="154" t="inlineStr">
        <is>
          <t>EMERGENCY</t>
        </is>
      </c>
      <c r="B40" s="152" t="inlineStr">
        <is>
          <t>Emergency / failsafe mode; max power</t>
        </is>
      </c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</row>
  </sheetData>
  <mergeCells count="12">
    <mergeCell ref="B35:L35"/>
    <mergeCell ref="A2:L2"/>
    <mergeCell ref="B38:L38"/>
    <mergeCell ref="B33:L33"/>
    <mergeCell ref="A1:L1"/>
    <mergeCell ref="B39:L39"/>
    <mergeCell ref="A31:L31"/>
    <mergeCell ref="B34:L34"/>
    <mergeCell ref="B37:L37"/>
    <mergeCell ref="B36:L36"/>
    <mergeCell ref="B32:L32"/>
    <mergeCell ref="B40:L40"/>
  </mergeCells>
  <dataValidations count="1">
    <dataValidation sqref="F4:F28" showDropDown="0" showInputMessage="0" showErrorMessage="0" allowBlank="0" type="list" errorStyle="stop" operator="between">
      <formula1>"IDLE,TAKEOFF,CLIMB,CRUISE,HOVER,DESCEND,LAND,PAYLOAD_OPS,EMERGENCY"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2026-03-20T04:47:10Z</dcterms:created>
  <dcterms:modified xmlns:dcterms="http://purl.org/dc/terms/" xmlns:xsi="http://www.w3.org/2001/XMLSchema-instance" xsi:type="dcterms:W3CDTF">2026-03-20T15:57:50Z</dcterms:modified>
  <cp:revision>0</cp:revision>
</cp:coreProperties>
</file>